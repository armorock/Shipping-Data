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rmorock\Armorock Project Management\Scheduling\"/>
    </mc:Choice>
  </mc:AlternateContent>
  <xr:revisionPtr revIDLastSave="0" documentId="13_ncr:1_{A106EE4D-85C2-495B-A13B-3F970FDA9B10}" xr6:coauthVersionLast="45" xr6:coauthVersionMax="45" xr10:uidLastSave="{00000000-0000-0000-0000-000000000000}"/>
  <bookViews>
    <workbookView xWindow="-120" yWindow="-120" windowWidth="29040" windowHeight="15840" firstSheet="1" activeTab="9" xr2:uid="{BADCCB86-2651-4F56-9132-77EB78EA2C8D}"/>
  </bookViews>
  <sheets>
    <sheet name="March 2019" sheetId="1" r:id="rId1"/>
    <sheet name="April 2019" sheetId="2" r:id="rId2"/>
    <sheet name="May 2019" sheetId="3" r:id="rId3"/>
    <sheet name="June 2019" sheetId="4" r:id="rId4"/>
    <sheet name="July 2019" sheetId="5" r:id="rId5"/>
    <sheet name="August 2019" sheetId="9" r:id="rId6"/>
    <sheet name="September 2019" sheetId="10" r:id="rId7"/>
    <sheet name="October 2019" sheetId="6" r:id="rId8"/>
    <sheet name="November 2019" sheetId="7" r:id="rId9"/>
    <sheet name="December 2019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0" l="1"/>
  <c r="C5" i="10" s="1"/>
  <c r="D5" i="10" s="1"/>
  <c r="E5" i="10" s="1"/>
  <c r="F5" i="10" s="1"/>
  <c r="G5" i="10" s="1"/>
  <c r="B8" i="10" l="1"/>
  <c r="C8" i="10" s="1"/>
  <c r="D8" i="10" s="1"/>
  <c r="E8" i="10" s="1"/>
  <c r="F8" i="10" s="1"/>
  <c r="G8" i="10" s="1"/>
  <c r="F2" i="9"/>
  <c r="G2" i="9" s="1"/>
  <c r="B5" i="9" s="1"/>
  <c r="C5" i="9" s="1"/>
  <c r="D5" i="9" s="1"/>
  <c r="E5" i="9" s="1"/>
  <c r="F5" i="9" s="1"/>
  <c r="G5" i="9" s="1"/>
  <c r="B8" i="9" s="1"/>
  <c r="C8" i="9" s="1"/>
  <c r="D8" i="9" s="1"/>
  <c r="E8" i="9" s="1"/>
  <c r="F8" i="9" s="1"/>
  <c r="G8" i="9" s="1"/>
</calcChain>
</file>

<file path=xl/sharedStrings.xml><?xml version="1.0" encoding="utf-8"?>
<sst xmlns="http://schemas.openxmlformats.org/spreadsheetml/2006/main" count="642" uniqueCount="363">
  <si>
    <r>
      <t>(AXF) AIRPORT MAIN PRESCOTT AZ MH31,30</t>
    </r>
    <r>
      <rPr>
        <sz val="10"/>
        <color rgb="FFFFFFFF"/>
        <rFont val="Arial"/>
        <family val="2"/>
      </rPr>
      <t xml:space="preserve">
</t>
    </r>
    <r>
      <rPr>
        <sz val="10"/>
        <color rgb="FFE69138"/>
        <rFont val="Arial"/>
        <family val="2"/>
      </rPr>
      <t xml:space="preserve">(AXU) HDWD PI08-02, PI05-02,PH13-01,02
</t>
    </r>
    <r>
      <rPr>
        <sz val="10"/>
        <color rgb="FF7F6000"/>
        <rFont val="Arial"/>
        <family val="2"/>
      </rPr>
      <t>(AUL) WSAPP 60"x72" Riser</t>
    </r>
  </si>
  <si>
    <r>
      <t xml:space="preserve">
</t>
    </r>
    <r>
      <rPr>
        <sz val="10"/>
        <color rgb="FFFF9900"/>
        <rFont val="Arial"/>
        <family val="2"/>
      </rPr>
      <t>(AXU) HDWD PI08-03,PI01-13,PI01-14</t>
    </r>
  </si>
  <si>
    <t>TX</t>
  </si>
  <si>
    <r>
      <t>(AXV) DEER CRK JEA MH</t>
    </r>
    <r>
      <rPr>
        <sz val="10"/>
        <color rgb="FF6AA84F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
</t>
    </r>
  </si>
  <si>
    <t>(AXQ) AMARILLO 86+62.80, 93+96.13,96+94.93,102+03.40,107+11.86 (AXL) SYCAMORE 10+01.59,11+07.68,12+63.31</t>
  </si>
  <si>
    <t>Date</t>
  </si>
  <si>
    <t>NV</t>
  </si>
  <si>
    <r>
      <t>(AXT) FAWNBROOK SHOWLOW MH4,5,6,7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(AXU) HDWD PH11-01,02,03,04 PI07-02,04</t>
    </r>
  </si>
  <si>
    <r>
      <t xml:space="preserve">
</t>
    </r>
    <r>
      <rPr>
        <sz val="10"/>
        <color rgb="FF6AA84F"/>
        <rFont val="Arial"/>
        <family val="2"/>
      </rPr>
      <t xml:space="preserve">(AXW) STEEPLECHASE OFFSITE LS 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(AVR) SASD DISCHARGE VAULT</t>
    </r>
  </si>
  <si>
    <r>
      <t xml:space="preserve">(AXU) HDWD PI18-01,PI19-01,PI20-01,PI01-15,16,17,18,19 ; 8" SDR 35 BOOT
</t>
    </r>
    <r>
      <rPr>
        <sz val="10"/>
        <color rgb="FF4A86E8"/>
        <rFont val="Arial"/>
        <family val="2"/>
      </rPr>
      <t>(AYE) SOMERTON, AZ</t>
    </r>
  </si>
  <si>
    <r>
      <t xml:space="preserve">(AXY) TEQUESQUITE MH26,27,28, c0536-000, 10 Steel Bands
</t>
    </r>
    <r>
      <rPr>
        <sz val="10"/>
        <color rgb="FF3C78D8"/>
        <rFont val="Arial"/>
        <family val="2"/>
      </rPr>
      <t>(AXF) AIRPORT MAIN PRESCOTT AZ MH29</t>
    </r>
  </si>
  <si>
    <r>
      <t xml:space="preserve">
</t>
    </r>
    <r>
      <rPr>
        <sz val="10"/>
        <color rgb="FFFF9900"/>
        <rFont val="Arial"/>
        <family val="2"/>
      </rPr>
      <t xml:space="preserve">(AXU) HDWD PI01-20,PH10-01,PI07-03,05, PI12-01
</t>
    </r>
  </si>
  <si>
    <t>(AVZ) STEVENS CREEK MH21,22,23</t>
  </si>
  <si>
    <t>(AXJ)JEA KNIGHT LN (AXV) MH1,2</t>
  </si>
  <si>
    <t>(AYB) MT PLEASANT IOP CONNECTOR MH2, MH3</t>
  </si>
  <si>
    <r>
      <t xml:space="preserve">(AXU) HDWD PI22-01, PI23-01,PH10-02,03,04,05
</t>
    </r>
    <r>
      <rPr>
        <sz val="10"/>
        <color rgb="FF4A86E8"/>
        <rFont val="Arial"/>
        <family val="2"/>
      </rPr>
      <t xml:space="preserve">(AWB) TENXRANCH LS
</t>
    </r>
  </si>
  <si>
    <r>
      <t xml:space="preserve">
</t>
    </r>
    <r>
      <rPr>
        <sz val="10"/>
        <color rgb="FFFF9900"/>
        <rFont val="Arial"/>
        <family val="2"/>
      </rPr>
      <t>(AVN) Valley View 17719006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 xml:space="preserve">(AXR)Queen Creek Rd. Project WW083 MH26,27+60x72riser
(2 Trucks) 
</t>
    </r>
    <r>
      <rPr>
        <sz val="10"/>
        <color rgb="FF6AA84F"/>
        <rFont val="Arial"/>
        <family val="2"/>
      </rPr>
      <t>(AVU) Fort Bliss Rehabs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(AUZ) MH169, 222, 298 SS TX C0530-0000</t>
    </r>
  </si>
  <si>
    <r>
      <t xml:space="preserve">(AXU) HDWD PI21-01,02, 03 Pi07-01
</t>
    </r>
    <r>
      <rPr>
        <sz val="10"/>
        <color rgb="FFFFFFFF"/>
        <rFont val="Arial"/>
        <family val="2"/>
      </rPr>
      <t xml:space="preserve">
</t>
    </r>
  </si>
  <si>
    <r>
      <t>(AVZ) STEVENS CREEK MH24,25,26,27</t>
    </r>
    <r>
      <rPr>
        <sz val="10"/>
        <color rgb="FFFFFFFF"/>
        <rFont val="Arial"/>
        <family val="2"/>
      </rPr>
      <t xml:space="preserve"> </t>
    </r>
    <r>
      <rPr>
        <sz val="10"/>
        <color rgb="FFFFFF00"/>
        <rFont val="Arial"/>
        <family val="2"/>
      </rPr>
      <t>(AXQ) AMARILLO NW INTER. STA 112+76.07,118+40.28,123+64.57</t>
    </r>
  </si>
  <si>
    <r>
      <t>(AUU) PLANO, PEACHTREE 17+85.53, 20+98.24, 21+39.52</t>
    </r>
    <r>
      <rPr>
        <sz val="10"/>
        <color theme="1"/>
        <rFont val="Arial"/>
        <family val="2"/>
      </rPr>
      <t xml:space="preserve"> </t>
    </r>
  </si>
  <si>
    <t>(AXQ) AMARILLO NW INTER. STA 127+81.33, 129+38.11, 133+65.04</t>
  </si>
  <si>
    <t>Texas Day Off</t>
  </si>
  <si>
    <r>
      <t>(AXF) AIRPORT MAIN PRESCOTT AZ 
MH28</t>
    </r>
    <r>
      <rPr>
        <sz val="10"/>
        <color rgb="FFFF9900"/>
        <rFont val="Arial"/>
        <family val="2"/>
      </rPr>
      <t xml:space="preserve">
</t>
    </r>
    <r>
      <rPr>
        <sz val="10"/>
        <color rgb="FF4A86E8"/>
        <rFont val="Arial"/>
        <family val="2"/>
      </rPr>
      <t>(AYJ) Buena Outfall MH1-3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(AXU) HDWD PI07-06, 
PI12-02, PI21-04</t>
    </r>
  </si>
  <si>
    <r>
      <t xml:space="preserve">(AVV) DESERT KNOLLS SAVI 8,9 EXTRA MATERIALS </t>
    </r>
    <r>
      <rPr>
        <sz val="10"/>
        <color rgb="FF9900FF"/>
        <rFont val="Arial"/>
        <family val="2"/>
      </rPr>
      <t xml:space="preserve">
</t>
    </r>
    <r>
      <rPr>
        <sz val="10"/>
        <color rgb="FFFF9900"/>
        <rFont val="Arial"/>
        <family val="2"/>
      </rPr>
      <t>(AVN) Valley View 17719008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(AUZ) MH80,163,574
</t>
    </r>
    <r>
      <rPr>
        <sz val="10"/>
        <color rgb="FF8E7CC3"/>
        <rFont val="Arial"/>
        <family val="2"/>
      </rPr>
      <t xml:space="preserve">(AVD) Dry Canyon 60x72 Riser
(AYL) ST 9+00 (AYL and AVD) </t>
    </r>
  </si>
  <si>
    <r>
      <t xml:space="preserve">
</t>
    </r>
    <r>
      <rPr>
        <sz val="10"/>
        <color rgb="FF6AA84F"/>
        <rFont val="Arial"/>
        <family val="2"/>
      </rPr>
      <t xml:space="preserve">(AYI) COACHELLA MH INSERTS 6-10
</t>
    </r>
    <r>
      <rPr>
        <sz val="10"/>
        <color rgb="FFFF9900"/>
        <rFont val="Arial"/>
        <family val="2"/>
      </rPr>
      <t xml:space="preserve">(AXU) HDWD PH12-01
PH16-01,PH10-06
</t>
    </r>
    <r>
      <rPr>
        <sz val="10"/>
        <color rgb="FF6AA84F"/>
        <rFont val="Arial"/>
        <family val="2"/>
      </rPr>
      <t xml:space="preserve">(AYJ) Buena Outfall MH4-6
(AUR) Vista Village 60"x1' No Bell
[AYJ and AUR Same Truck]
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</si>
  <si>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4A86E8"/>
        <rFont val="Arial"/>
        <family val="2"/>
      </rPr>
      <t>(AXS) VANDENBURG VILLAGE LS 96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(AYC) SEAL BEACH PS
(AYG) MH1,2 [AYG and AYC]
</t>
    </r>
    <r>
      <rPr>
        <sz val="10"/>
        <color rgb="FF6AA84F"/>
        <rFont val="Arial"/>
        <family val="2"/>
      </rPr>
      <t>(AXS) VANDENBURG VILLAGE MH 1</t>
    </r>
  </si>
  <si>
    <r>
      <t xml:space="preserve">(AXU) HDWD PI25-01,02,03, 
</t>
    </r>
    <r>
      <rPr>
        <sz val="10"/>
        <color rgb="FFFFFFFF"/>
        <rFont val="Arial"/>
        <family val="2"/>
      </rPr>
      <t xml:space="preserve">(Customer Pick Up) 60x18"
</t>
    </r>
    <r>
      <rPr>
        <sz val="10"/>
        <color rgb="FF8E7CC3"/>
        <rFont val="Arial"/>
        <family val="2"/>
      </rPr>
      <t xml:space="preserve">(AXY)TEQUESQUITE MH29A,30 </t>
    </r>
  </si>
  <si>
    <t>MONDAY</t>
  </si>
  <si>
    <t>TUESDAY</t>
  </si>
  <si>
    <t>WEDNESDAY</t>
  </si>
  <si>
    <t>THURSDAY</t>
  </si>
  <si>
    <t>FRIDAY</t>
  </si>
  <si>
    <t>SATURDAY</t>
  </si>
  <si>
    <r>
      <t>(AXK) LOVELLAND WET WELL</t>
    </r>
    <r>
      <rPr>
        <sz val="10"/>
        <color rgb="FFFFFFFF"/>
        <rFont val="Arial"/>
        <family val="2"/>
      </rPr>
      <t xml:space="preserve"> 
</t>
    </r>
    <r>
      <rPr>
        <sz val="10"/>
        <color rgb="FF4A86E8"/>
        <rFont val="Arial"/>
        <family val="2"/>
      </rPr>
      <t xml:space="preserve">(AXT) FAWNBROOK SHOWLOW MH1,2,3
 </t>
    </r>
    <r>
      <rPr>
        <sz val="10"/>
        <color rgb="FFFF9900"/>
        <rFont val="Arial"/>
        <family val="2"/>
      </rPr>
      <t>(AXU) HDWD PI08-01,PH06-05,06,Pi05-03</t>
    </r>
  </si>
  <si>
    <t>(AVZ) STEVENS CREEK MH28,29,30 (AUU) PEACHTREE PLANO 22+50.32, 22+60.28 (ANS) Stewart Creek Frisco WWMH A31</t>
  </si>
  <si>
    <t>(AXQ) AMARILLO NW INTER. STA 137+07.02, 139+32.07, 142+08.78</t>
  </si>
  <si>
    <t>JVV Trucking</t>
  </si>
  <si>
    <t>REBEX</t>
  </si>
  <si>
    <t>CAST TRANSPORTATION</t>
  </si>
  <si>
    <t>PALADINE FREIGHT SOLUTIONS</t>
  </si>
  <si>
    <t>King Of Freight</t>
  </si>
  <si>
    <t>Unicron</t>
  </si>
  <si>
    <t>5W</t>
  </si>
  <si>
    <t>Trinity Logistics</t>
  </si>
  <si>
    <t>Freight Quote</t>
  </si>
  <si>
    <t>MegaCorp Logistics</t>
  </si>
  <si>
    <t>R&amp;R Express</t>
  </si>
  <si>
    <t>PDI</t>
  </si>
  <si>
    <t>Arrive Logistics</t>
  </si>
  <si>
    <t>JIM</t>
  </si>
  <si>
    <r>
      <t xml:space="preserve">
</t>
    </r>
    <r>
      <rPr>
        <sz val="10"/>
        <color rgb="FF8E7CC3"/>
        <rFont val="Arial"/>
        <family val="2"/>
      </rPr>
      <t xml:space="preserve">SS TX c0530-0000 
</t>
    </r>
    <r>
      <rPr>
        <sz val="10"/>
        <color rgb="FFFFFFFF"/>
        <rFont val="Arial"/>
        <family val="2"/>
      </rPr>
      <t>(AYD) SUMPS FOR SKIP</t>
    </r>
  </si>
  <si>
    <r>
      <t xml:space="preserve">
(AYI) COACHELLA MH INSERTS 11-13
(AXS) VANDENBURG VILLAGE MH 1
</t>
    </r>
    <r>
      <rPr>
        <sz val="10"/>
        <color rgb="FF8E7CC3"/>
        <rFont val="Arial"/>
        <family val="2"/>
      </rPr>
      <t>(AXF) 84x84 Riser</t>
    </r>
    <r>
      <rPr>
        <sz val="10"/>
        <color rgb="FFFFFFFF"/>
        <rFont val="Arial"/>
        <family val="2"/>
      </rPr>
      <t xml:space="preserve">
</t>
    </r>
  </si>
  <si>
    <r>
      <t>(AXB) CLOUD RD QUEEN CREEK MH4,9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(AVN) Valley View 177190025</t>
    </r>
  </si>
  <si>
    <r>
      <t>(AYH) Longmont Dual Outlet</t>
    </r>
    <r>
      <rPr>
        <sz val="10"/>
        <color rgb="FFFFFFFF"/>
        <rFont val="Arial"/>
        <family val="2"/>
      </rPr>
      <t xml:space="preserve">
</t>
    </r>
    <r>
      <rPr>
        <sz val="10"/>
        <color rgb="FFE69138"/>
        <rFont val="Arial"/>
        <family val="2"/>
      </rPr>
      <t>(AXD) Bermuda Volunteer 13,14,15</t>
    </r>
  </si>
  <si>
    <r>
      <t>(AXY) TEQUESQUITE MH31,32,37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LOWER WALNUT MH 40
LOWER WALNUT MH 41
</t>
    </r>
    <r>
      <rPr>
        <sz val="10"/>
        <color rgb="FF3D85C6"/>
        <rFont val="Arial"/>
        <family val="2"/>
      </rPr>
      <t>(AYR) CIP Manhole</t>
    </r>
    <r>
      <rPr>
        <sz val="10"/>
        <color rgb="FFFFFFFF"/>
        <rFont val="Arial"/>
        <family val="2"/>
      </rPr>
      <t xml:space="preserve">
</t>
    </r>
  </si>
  <si>
    <r>
      <t xml:space="preserve">TX C0530-000 + boxes of gaskets+ JEA Rehab MH
</t>
    </r>
    <r>
      <rPr>
        <sz val="10"/>
        <color rgb="FFE69138"/>
        <rFont val="Arial"/>
        <family val="2"/>
      </rPr>
      <t>(AXU) Hi Desert PI21-05,PI11-01,02, PI10-01</t>
    </r>
  </si>
  <si>
    <t>(AYB) MT PLEASANT IOP CONNECTOR MH1, MH4</t>
  </si>
  <si>
    <r>
      <t>(AXN)LBWD Cedar/52nd Siphon MH60000,60001 Extra S106-12WS</t>
    </r>
    <r>
      <rPr>
        <sz val="10"/>
        <color rgb="FFFFFFFF"/>
        <rFont val="Arial"/>
        <family val="2"/>
      </rPr>
      <t xml:space="preserve">
</t>
    </r>
    <r>
      <rPr>
        <sz val="10"/>
        <color rgb="FF3C78D8"/>
        <rFont val="Arial"/>
        <family val="2"/>
      </rPr>
      <t>(AYN) Blue Bonnet MH3-02, MH3-03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(AVT) Colony Trunk 16+77.06</t>
    </r>
    <r>
      <rPr>
        <sz val="10"/>
        <color rgb="FFFFFFFF"/>
        <rFont val="Arial"/>
        <family val="2"/>
      </rPr>
      <t xml:space="preserve">
</t>
    </r>
    <r>
      <rPr>
        <sz val="10"/>
        <color rgb="FFE69138"/>
        <rFont val="Arial"/>
        <family val="2"/>
      </rPr>
      <t>(AXU) Hi Desert PH10-07,08,09</t>
    </r>
    <r>
      <rPr>
        <sz val="10"/>
        <color rgb="FFFF0000"/>
        <rFont val="Arial"/>
        <family val="2"/>
      </rPr>
      <t xml:space="preserve">
</t>
    </r>
    <r>
      <rPr>
        <sz val="10"/>
        <color rgb="FF8E7CC3"/>
        <rFont val="Arial"/>
        <family val="2"/>
      </rPr>
      <t>(AXF) AIRPORT MAIN MH27</t>
    </r>
  </si>
  <si>
    <r>
      <t>(AXB) CLOUD RD QUEEN CREEK MH10,11</t>
    </r>
    <r>
      <rPr>
        <sz val="10"/>
        <color rgb="FFFF9900"/>
        <rFont val="Arial"/>
        <family val="2"/>
      </rPr>
      <t xml:space="preserve">
</t>
    </r>
    <r>
      <rPr>
        <sz val="10"/>
        <color rgb="FF93C47D"/>
        <rFont val="Arial"/>
        <family val="2"/>
      </rPr>
      <t>(AYG) Haymar MH05
(AUL) SSMH 1-01</t>
    </r>
  </si>
  <si>
    <r>
      <t xml:space="preserve">
</t>
    </r>
    <r>
      <rPr>
        <sz val="10"/>
        <color rgb="FF6AA84F"/>
        <rFont val="Arial"/>
        <family val="2"/>
      </rPr>
      <t>(AYY) WMWD Meridian MH-01
(AYJ) Buena Outfall: 7,8,9 60x36R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Western States 72x18" Riser</t>
    </r>
    <r>
      <rPr>
        <sz val="10"/>
        <color rgb="FFE69138"/>
        <rFont val="Arial"/>
        <family val="2"/>
      </rPr>
      <t xml:space="preserve">
</t>
    </r>
    <r>
      <rPr>
        <sz val="10"/>
        <color rgb="FFFF0000"/>
        <rFont val="Arial"/>
        <family val="2"/>
      </rPr>
      <t>(AYZ) CCWRD JONES SSMH17611001 ADD 2 GROUT</t>
    </r>
  </si>
  <si>
    <t>(AXQ) Amarillo Sta 0+17.14, Sta 0+74.32</t>
  </si>
  <si>
    <t>(AUK) ENO RIVER JB #3</t>
  </si>
  <si>
    <t>Rebar for Boulder City nv 7:00am pick up</t>
  </si>
  <si>
    <r>
      <t>(AYP) TULE SPRINGS PARCEL 4.03
MH 4,5,7,9,18,19,20,21 
(AYP) TULE SPRINGS PARCEL 4.03
MH 1,2,3,6,8,13,14,15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(AXY) TEQUESQUITE MH39,40
</t>
    </r>
    <r>
      <rPr>
        <sz val="10"/>
        <color rgb="FF93C47D"/>
        <rFont val="Arial"/>
        <family val="2"/>
      </rPr>
      <t>(AGS) SILVERCREEK REMAKE MH2 &amp; (AXW) STEEPLECHASE HATCH LID +2 GROUT KITS</t>
    </r>
  </si>
  <si>
    <r>
      <t xml:space="preserve">(ASF) LOWER WALNUT Inlet, Outlet, JB4, MH46
</t>
    </r>
    <r>
      <rPr>
        <sz val="10"/>
        <color rgb="FF000000"/>
        <rFont val="Arial"/>
        <family val="2"/>
      </rPr>
      <t xml:space="preserve"> </t>
    </r>
    <r>
      <rPr>
        <sz val="10"/>
        <color rgb="FFFF0000"/>
        <rFont val="Arial"/>
        <family val="2"/>
      </rPr>
      <t>Forklift to Jacksonville, FL &amp; Mastic</t>
    </r>
  </si>
  <si>
    <r>
      <t xml:space="preserve">(AXQ) AMARILLO NW INTER. STA 7+63.53, S0536, S0572 
</t>
    </r>
    <r>
      <rPr>
        <sz val="10"/>
        <color rgb="FFFF9900"/>
        <rFont val="Arial"/>
        <family val="2"/>
      </rPr>
      <t>(AWJ) HAWAII 1ST - 71260-BFF, 2ND - 71272-S1C &amp; 51272-S</t>
    </r>
  </si>
  <si>
    <r>
      <t xml:space="preserve">
</t>
    </r>
    <r>
      <rPr>
        <sz val="10"/>
        <color rgb="FFE69138"/>
        <rFont val="Arial"/>
        <family val="2"/>
      </rPr>
      <t xml:space="preserve">(AZC) HDWD TRP 52A,53,54,55
</t>
    </r>
  </si>
  <si>
    <t>(AZC) HDWD PK02-01,02,03,04</t>
  </si>
  <si>
    <t>Vititow</t>
  </si>
  <si>
    <t>LVT</t>
  </si>
  <si>
    <r>
      <t xml:space="preserve">
</t>
    </r>
    <r>
      <rPr>
        <sz val="10"/>
        <color rgb="FFE69138"/>
        <rFont val="Arial"/>
        <family val="2"/>
      </rPr>
      <t xml:space="preserve">(AYV) Sewer Rehab Group N MH 51,50,49 (before 5 am)
</t>
    </r>
    <r>
      <rPr>
        <sz val="10"/>
        <color rgb="FF93C47D"/>
        <rFont val="Arial"/>
        <family val="2"/>
      </rPr>
      <t xml:space="preserve">(AVC) St George Riverside 60x1' Riser
</t>
    </r>
    <r>
      <rPr>
        <sz val="10"/>
        <color rgb="FFFFF2CC"/>
        <rFont val="Arial"/>
        <family val="2"/>
      </rPr>
      <t>(AVV) Desert Knolls Savi 9 Remake EXTRA FRAME AND COVER+ 6 6" GR</t>
    </r>
  </si>
  <si>
    <r>
      <t>(AYQ) Fort Myers MH1-2+extra grout &amp; boots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(AZA) Acid Resistant Polymer MH</t>
    </r>
    <r>
      <rPr>
        <sz val="10"/>
        <color rgb="FFFFFFFF"/>
        <rFont val="Arial"/>
        <family val="2"/>
      </rPr>
      <t xml:space="preserve">
</t>
    </r>
    <r>
      <rPr>
        <sz val="10"/>
        <color rgb="FFE69138"/>
        <rFont val="Arial"/>
        <family val="2"/>
      </rPr>
      <t>(AYP) TULE SPRINGS PARCEL 4.03
MH 10,11,12,22,24,28,</t>
    </r>
  </si>
  <si>
    <r>
      <t xml:space="preserve">(ASF) LOWER WALNUT MH 44
</t>
    </r>
    <r>
      <rPr>
        <sz val="10"/>
        <color rgb="FFE69138"/>
        <rFont val="Arial"/>
        <family val="2"/>
      </rPr>
      <t>(AZC) HDWD PK01-01,02,03,04</t>
    </r>
  </si>
  <si>
    <r>
      <t>(AYO) Irvins Creek-Charlotte, NC STA 31+12.74</t>
    </r>
    <r>
      <rPr>
        <sz val="10"/>
        <color rgb="FFFFFFFF"/>
        <rFont val="Arial"/>
        <family val="2"/>
      </rPr>
      <t xml:space="preserve"> </t>
    </r>
  </si>
  <si>
    <r>
      <t>(ASF) LOWER WALNUT Inlet, Outlet, JB4</t>
    </r>
    <r>
      <rPr>
        <sz val="10"/>
        <color rgb="FFFFFFFF"/>
        <rFont val="Arial"/>
        <family val="2"/>
      </rPr>
      <t xml:space="preserve"> </t>
    </r>
    <r>
      <rPr>
        <sz val="10"/>
        <color rgb="FFFF0000"/>
        <rFont val="Arial"/>
        <family val="2"/>
      </rPr>
      <t>(AVZ) STEVENS CREEK MH31, MH10, MH11</t>
    </r>
    <r>
      <rPr>
        <sz val="10"/>
        <color rgb="FFFFFFFF"/>
        <rFont val="Arial"/>
        <family val="2"/>
      </rPr>
      <t xml:space="preserve"> 
</t>
    </r>
    <r>
      <rPr>
        <sz val="10"/>
        <color rgb="FFB6D7A8"/>
        <rFont val="Arial"/>
        <family val="2"/>
      </rPr>
      <t>(AYT)JEA Gran Bay Pkwy MH, Macdougal Dr MH, Rehab MH 
(AXV) JEA MISC MH 3(50430-C)</t>
    </r>
  </si>
  <si>
    <t>(AYV) Sewer Rehab Group N MH Remainder of 51,50,49</t>
  </si>
  <si>
    <t>(AVT) THE COLONY-North Trunk Sewer STA 19+94.27, 21+79.31, S0672(QTY:2), S0624(QTY:2)</t>
  </si>
  <si>
    <r>
      <rPr>
        <sz val="10"/>
        <color rgb="FFFFFF00"/>
        <rFont val="Arial"/>
        <family val="2"/>
      </rPr>
      <t>(AXY) TEQUESQUITE MH28A,29</t>
    </r>
    <r>
      <rPr>
        <sz val="10"/>
        <color theme="1"/>
        <rFont val="Arial"/>
        <family val="2"/>
      </rPr>
      <t xml:space="preserve">
</t>
    </r>
    <r>
      <rPr>
        <sz val="10"/>
        <color theme="9" tint="-0.249977111117893"/>
        <rFont val="Arial"/>
        <family val="2"/>
      </rPr>
      <t>(AYG) HARMAR MH3,4</t>
    </r>
    <r>
      <rPr>
        <sz val="10"/>
        <color theme="1"/>
        <rFont val="Arial"/>
        <family val="2"/>
      </rPr>
      <t xml:space="preserve">
</t>
    </r>
    <r>
      <rPr>
        <sz val="10"/>
        <color rgb="FF9A57CD"/>
        <rFont val="Arial"/>
        <family val="2"/>
      </rPr>
      <t>(AUZ) ST GEORGE  79,162,241</t>
    </r>
  </si>
  <si>
    <t xml:space="preserve">(AWJ) HAWAII 71213-CL &amp; 51262-S
</t>
  </si>
  <si>
    <r>
      <t>(AYW) Harvest Queen Creek MH11,12,13
(AYW) Harvest Queen Creek MH 14,15, 99</t>
    </r>
    <r>
      <rPr>
        <sz val="10"/>
        <color rgb="FFFFFFFF"/>
        <rFont val="Arial"/>
        <family val="2"/>
      </rPr>
      <t xml:space="preserve">
</t>
    </r>
    <r>
      <rPr>
        <sz val="10"/>
        <color rgb="FFE69138"/>
        <rFont val="Arial"/>
        <family val="2"/>
      </rPr>
      <t>(AXD) Bermuda Volunteer MH 10,11,12
(AVN) Valley View 177190026</t>
    </r>
  </si>
  <si>
    <t xml:space="preserve">(AXU) HDWD PH10-07A,PH10-07B
(AZC) HDWD PK02-05,06,07A
</t>
  </si>
  <si>
    <r>
      <t>(AXY) TEQUESQUITE MH38,41</t>
    </r>
    <r>
      <rPr>
        <sz val="10"/>
        <color rgb="FFFFFFFF"/>
        <rFont val="Arial"/>
        <family val="2"/>
      </rPr>
      <t xml:space="preserve">
</t>
    </r>
    <r>
      <rPr>
        <sz val="10"/>
        <color rgb="FFE69138"/>
        <rFont val="Arial"/>
        <family val="2"/>
      </rPr>
      <t xml:space="preserve">(AYP) TULE SPRINGS PARCEL 4.03
MH 16,17,23,25,26,27
(AXD) Bermuda Volunteer MH 7,8,9
</t>
    </r>
    <r>
      <rPr>
        <sz val="10"/>
        <color theme="9" tint="0.39997558519241921"/>
        <rFont val="Arial"/>
        <family val="2"/>
      </rPr>
      <t>(AYX) Ash Creek SKMT MH1,SKMT MH2,GW MH2,GW MH3</t>
    </r>
  </si>
  <si>
    <t xml:space="preserve">(AYU) DFW Pilot </t>
  </si>
  <si>
    <t xml:space="preserve">(AXQ) AMARILLO NW INTER. 
STA 21+61.35, 21+77.82, 23+95.42 
</t>
  </si>
  <si>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(AXQ) AMARILLO NW INTER. STA 7+63.33, 7+74.33, 14+65.82</t>
    </r>
    <r>
      <rPr>
        <sz val="10"/>
        <color rgb="FFFFFFFF"/>
        <rFont val="Arial"/>
        <family val="2"/>
      </rPr>
      <t xml:space="preserve"> 
</t>
    </r>
    <r>
      <rPr>
        <sz val="10"/>
        <color rgb="FFB6D7A8"/>
        <rFont val="Arial"/>
        <family val="2"/>
      </rPr>
      <t>FLYASH FROM AZ to TX</t>
    </r>
  </si>
  <si>
    <t>(AUK) ENO RIVER
MH30</t>
  </si>
  <si>
    <r>
      <rPr>
        <sz val="10"/>
        <color rgb="FF00B0F0"/>
        <rFont val="Arial"/>
        <family val="2"/>
      </rPr>
      <t>(ASF) LOWER WALNUT LIDS &gt; Inlet, Outlet, MH46, AND LID for MH31+12.74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(AXQ) AMARILLO NW INTER. STA 144+47.61, 148+34.54, 152+45.04, 156+14.59</t>
    </r>
  </si>
  <si>
    <t xml:space="preserve">(AYV) Sewer Rehab Group N MH 48,47
</t>
  </si>
  <si>
    <t xml:space="preserve">(AZK) Lakeland </t>
  </si>
  <si>
    <t>(AXQ) AMARILLO NW INTER. STA 160+40.18, 164+40.08, 167+72.35</t>
  </si>
  <si>
    <r>
      <rPr>
        <sz val="10"/>
        <color theme="4"/>
        <rFont val="Arial"/>
        <family val="2"/>
      </rPr>
      <t>(AZC) PJ02-02, PJ04-01,02, PK02-10</t>
    </r>
    <r>
      <rPr>
        <sz val="10"/>
        <color rgb="FFE69138"/>
        <rFont val="Arial"/>
        <family val="2"/>
      </rPr>
      <t xml:space="preserve">
(AZC) HDWD PK03-04,05,06,07 ANY RING AND COVER NOT ON CAST
</t>
    </r>
    <r>
      <rPr>
        <sz val="10"/>
        <color rgb="FFFF00FF"/>
        <rFont val="Arial"/>
        <family val="2"/>
      </rPr>
      <t>(ASW) Templeton SSMH 3,7</t>
    </r>
    <r>
      <rPr>
        <sz val="10"/>
        <color rgb="FFE69138"/>
        <rFont val="Arial"/>
        <family val="2"/>
      </rPr>
      <t xml:space="preserve">
</t>
    </r>
    <r>
      <rPr>
        <sz val="10"/>
        <color theme="4"/>
        <rFont val="Arial"/>
        <family val="2"/>
      </rPr>
      <t>(AUL) Spur Crossing SSMH03-01,02</t>
    </r>
  </si>
  <si>
    <r>
      <t xml:space="preserve">LOWER WALNUT MH 42
</t>
    </r>
    <r>
      <rPr>
        <sz val="10"/>
        <color rgb="FF3D85C6"/>
        <rFont val="Arial"/>
        <family val="2"/>
      </rPr>
      <t>(AXU) Hi Desert PI07-07,08,09</t>
    </r>
    <r>
      <rPr>
        <sz val="10"/>
        <color rgb="FFE69138"/>
        <rFont val="Arial"/>
        <family val="2"/>
      </rPr>
      <t xml:space="preserve">
</t>
    </r>
    <r>
      <rPr>
        <sz val="10"/>
        <color rgb="FF3D85C6"/>
        <rFont val="Arial"/>
        <family val="2"/>
      </rPr>
      <t xml:space="preserve">(AYW) Harvest Queen Creek MH 08,09,10,157 (2Trucks)
</t>
    </r>
    <r>
      <rPr>
        <sz val="10"/>
        <color rgb="FFFF0000"/>
        <rFont val="Arial"/>
        <family val="2"/>
      </rPr>
      <t xml:space="preserve">(AYE) 6 - L0424-00100 BRING BACK 6- A0330-LO
</t>
    </r>
    <r>
      <rPr>
        <sz val="10"/>
        <color theme="9" tint="0.39997558519241921"/>
        <rFont val="Arial"/>
        <family val="2"/>
      </rPr>
      <t>(AYS) Red Ledges SSMH 2R-01</t>
    </r>
    <r>
      <rPr>
        <sz val="10"/>
        <color rgb="FF3C78D8"/>
        <rFont val="Arial"/>
        <family val="2"/>
      </rPr>
      <t xml:space="preserve">
</t>
    </r>
    <r>
      <rPr>
        <sz val="10"/>
        <color theme="5" tint="0.39997558519241921"/>
        <rFont val="Arial"/>
        <family val="2"/>
      </rPr>
      <t>Sulphur Springs cones,GR, and cone mold</t>
    </r>
  </si>
  <si>
    <r>
      <rPr>
        <sz val="10"/>
        <color theme="5"/>
        <rFont val="Arial"/>
        <family val="2"/>
      </rPr>
      <t>(AZC) PK03-01,02,03; PJ02-01; PL01-01,02,03</t>
    </r>
    <r>
      <rPr>
        <sz val="10"/>
        <color rgb="FF4A86E8"/>
        <rFont val="Arial"/>
        <family val="2"/>
      </rPr>
      <t xml:space="preserve">
</t>
    </r>
    <r>
      <rPr>
        <sz val="10"/>
        <color theme="9" tint="0.39997558519241921"/>
        <rFont val="Arial"/>
        <family val="2"/>
      </rPr>
      <t>(AXQ) (7) 60x72 Risers</t>
    </r>
  </si>
  <si>
    <t xml:space="preserve">(AZC) HDWD PK02-07,08,09,11,12
</t>
  </si>
  <si>
    <r>
      <t>(AYP) TULE SPRINGS PARCEL 4.03
MH 29,30,31,32,33,34,35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(AUL) Spur Crossing SSMH03-02,04
</t>
    </r>
  </si>
  <si>
    <r>
      <t xml:space="preserve">(AZC) HDWD PJ03-01,02,03 PK04-01,02,03,04
</t>
    </r>
    <r>
      <rPr>
        <sz val="10"/>
        <color rgb="FF6AA84F"/>
        <rFont val="Arial"/>
        <family val="2"/>
      </rPr>
      <t>Augers and Cones to SS</t>
    </r>
  </si>
  <si>
    <r>
      <t xml:space="preserve">
</t>
    </r>
    <r>
      <rPr>
        <sz val="10"/>
        <color rgb="FF4A86E8"/>
        <rFont val="Arial"/>
        <family val="2"/>
      </rPr>
      <t>(AUL) Spur Crossing SSMH03-05,06 Ring and Covers</t>
    </r>
  </si>
  <si>
    <t>(AXQ) AMARILLO NW INTER. STA 169+53.90, 172+23.10</t>
  </si>
  <si>
    <r>
      <t>(AZC) HDWD PK04-05,06; PK06-01,03,PJ05-01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(AXY) TEQUESQUITE MH42 Extra Grade Rings
120 MOLD to SS</t>
    </r>
  </si>
  <si>
    <r>
      <t>(AZC) HDWD PK01-05,06,07, PK07-01,02,03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>(6) 60x72 Risers to Texas</t>
    </r>
  </si>
  <si>
    <r>
      <t xml:space="preserve">(AZB) COUNTRY CLUB ST. GEORGE MH505
</t>
    </r>
    <r>
      <rPr>
        <sz val="10"/>
        <color rgb="FFFF9900"/>
        <rFont val="Arial"/>
        <family val="2"/>
      </rPr>
      <t>(AXD) Bermuda MH 4,5,6</t>
    </r>
  </si>
  <si>
    <r>
      <t xml:space="preserve">(AZC) HDWD PK01-08,09,10,11; PK08-01
</t>
    </r>
    <r>
      <rPr>
        <sz val="10"/>
        <color rgb="FF4A86E8"/>
        <rFont val="Arial"/>
        <family val="2"/>
      </rPr>
      <t xml:space="preserve">(ASF) LOWER WALNUT MH 47
</t>
    </r>
    <r>
      <rPr>
        <sz val="10"/>
        <color rgb="FF8E7CC3"/>
        <rFont val="Arial"/>
        <family val="2"/>
      </rPr>
      <t>(Stuff to Texas) Cones and Indian Mold</t>
    </r>
  </si>
  <si>
    <t xml:space="preserve">
</t>
  </si>
  <si>
    <r>
      <t>(AVT) THE COLONY-North Trunk Sewer STA 21+79.31, 23+41.87</t>
    </r>
    <r>
      <rPr>
        <sz val="10"/>
        <color rgb="FFFFFFFF"/>
        <rFont val="Arial"/>
        <family val="2"/>
      </rPr>
      <t xml:space="preserve">
</t>
    </r>
    <r>
      <rPr>
        <sz val="10"/>
        <color rgb="FFB6D7A8"/>
        <rFont val="Arial"/>
        <family val="2"/>
      </rPr>
      <t>(AZE) BROAD &amp; 4th
(AZF) BUCKMAN MH JEA</t>
    </r>
  </si>
  <si>
    <r>
      <t>(AUK) ENO RIVER
MH31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(AXL) Sycamore Creek STA17+09.88</t>
    </r>
  </si>
  <si>
    <r>
      <t xml:space="preserve">(AZC) HDWD PJ07-01,02,03,04; PJ06-01,02,03
</t>
    </r>
    <r>
      <rPr>
        <sz val="10"/>
        <color rgb="FF93C47D"/>
        <rFont val="Arial"/>
        <family val="2"/>
      </rPr>
      <t>(AZJ) Laney Outfall Rehab
(AZT) Charlottesville Rehab</t>
    </r>
  </si>
  <si>
    <r>
      <t xml:space="preserve">
</t>
    </r>
    <r>
      <rPr>
        <sz val="10"/>
        <color rgb="FF93C47D"/>
        <rFont val="Arial"/>
        <family val="2"/>
      </rPr>
      <t>FlyAsh To Boulder</t>
    </r>
  </si>
  <si>
    <r>
      <t xml:space="preserve">(AZC) HDWD PK02-13,14,15
</t>
    </r>
    <r>
      <rPr>
        <sz val="10"/>
        <color rgb="FF6AA84F"/>
        <rFont val="Arial"/>
        <family val="2"/>
      </rPr>
      <t>(AZQ) Mary's Meadow SSMH101</t>
    </r>
    <r>
      <rPr>
        <sz val="10"/>
        <color rgb="FFFFFFFF"/>
        <rFont val="Arial"/>
        <family val="2"/>
      </rPr>
      <t xml:space="preserve">
</t>
    </r>
    <r>
      <rPr>
        <sz val="10"/>
        <color rgb="FF7F6000"/>
        <rFont val="Arial"/>
        <family val="2"/>
      </rPr>
      <t xml:space="preserve">(AUZ) SGWRF MH 600
(AUZ) SGWRF MH502 (2 Trucks)
</t>
    </r>
  </si>
  <si>
    <r>
      <t xml:space="preserve">
</t>
    </r>
    <r>
      <rPr>
        <sz val="10"/>
        <color rgb="FFB7B7B7"/>
        <rFont val="Arial"/>
        <family val="2"/>
      </rPr>
      <t>Haymar Grade Rings and Grout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 xml:space="preserve">(AZC) HDWD PK02-16,17; PK09-01,02
</t>
    </r>
    <r>
      <rPr>
        <sz val="10"/>
        <color rgb="FFFFFFFF"/>
        <rFont val="Arial"/>
        <family val="2"/>
      </rPr>
      <t>Both Loads Later in Day!!!</t>
    </r>
  </si>
  <si>
    <r>
      <t xml:space="preserve">(AZC) HDWD PJ08-01,02,03,04
</t>
    </r>
    <r>
      <rPr>
        <sz val="10"/>
        <color rgb="FF6D9EEB"/>
        <rFont val="Arial"/>
        <family val="2"/>
      </rPr>
      <t>12:00 PM</t>
    </r>
  </si>
  <si>
    <r>
      <t>(ASF) LOWER WALNUT JB4 Lid &amp; Inlet 23" Riser</t>
    </r>
    <r>
      <rPr>
        <sz val="10"/>
        <color rgb="FFF3F3F3"/>
        <rFont val="Arial"/>
        <family val="2"/>
      </rPr>
      <t xml:space="preserve">
</t>
    </r>
    <r>
      <rPr>
        <sz val="10"/>
        <color rgb="FF9900FF"/>
        <rFont val="Arial"/>
        <family val="2"/>
      </rPr>
      <t>(AXQ) AMARILLO NW INTER. STA 176+73.55, 178+86.20, 180+71.56 [2 Trucks]</t>
    </r>
  </si>
  <si>
    <r>
      <t xml:space="preserve">(AZM) ORTEGA &amp; IVANHOE - JEA
</t>
    </r>
    <r>
      <rPr>
        <sz val="10"/>
        <color rgb="FF7F6000"/>
        <rFont val="Arial"/>
        <family val="2"/>
      </rPr>
      <t>(AVT) THE COLONY-North Trunk Sewer STA 23+78.51, 26+34.77, 28+57.14 [2 Trucks]</t>
    </r>
  </si>
  <si>
    <t>(AZH) Spring Garden PA 467, 468, 469, 470</t>
  </si>
  <si>
    <r>
      <t>(AZN) Manhole Rehab Project
1-8 + 2 Spreader Bars
Time: 7:00 AM</t>
    </r>
    <r>
      <rPr>
        <sz val="10"/>
        <color rgb="FFFFFFFF"/>
        <rFont val="Arial"/>
        <family val="2"/>
      </rPr>
      <t xml:space="preserve">
</t>
    </r>
    <r>
      <rPr>
        <sz val="10"/>
        <color rgb="FFE06666"/>
        <rFont val="Arial"/>
        <family val="2"/>
      </rPr>
      <t>(AZO) Jones and Russell 16336011,16336012</t>
    </r>
    <r>
      <rPr>
        <sz val="10"/>
        <color rgb="FFFF0000"/>
        <rFont val="Arial"/>
        <family val="2"/>
      </rPr>
      <t xml:space="preserve">
</t>
    </r>
    <r>
      <rPr>
        <sz val="10"/>
        <color rgb="FFE06666"/>
        <rFont val="Arial"/>
        <family val="2"/>
      </rPr>
      <t xml:space="preserve">LOAD FOR JIM
</t>
    </r>
    <r>
      <rPr>
        <sz val="10"/>
        <color rgb="FF8E7CC3"/>
        <rFont val="Arial"/>
        <family val="2"/>
      </rPr>
      <t xml:space="preserve">(AZV) VENTURA WET WELL
Time: 12:00 PM
</t>
    </r>
    <r>
      <rPr>
        <sz val="10"/>
        <color rgb="FFFFFFFF"/>
        <rFont val="Arial"/>
        <family val="2"/>
      </rPr>
      <t xml:space="preserve">Tule Pick Up
(3) 48x12 (1) 48x18
Time: Unknown
Omar Pick Up
17704015,17704014
Time: Unknown
</t>
    </r>
    <r>
      <rPr>
        <sz val="10"/>
        <color rgb="FFE06666"/>
        <rFont val="Arial"/>
        <family val="2"/>
      </rPr>
      <t>JIM TO VISTA, CA</t>
    </r>
  </si>
  <si>
    <r>
      <t xml:space="preserve">
</t>
    </r>
    <r>
      <rPr>
        <sz val="10"/>
        <color rgb="FF8E7CC3"/>
        <rFont val="Arial"/>
        <family val="2"/>
      </rPr>
      <t xml:space="preserve">(AYi) Coachella- Agua Caliente 
Time: 7:00 AM
</t>
    </r>
    <r>
      <rPr>
        <sz val="10"/>
        <color rgb="FFFFFFFF"/>
        <rFont val="Arial"/>
        <family val="2"/>
      </rPr>
      <t>Omar Pick Up for 60x48
Time: UNK</t>
    </r>
  </si>
  <si>
    <r>
      <t xml:space="preserve">(AZX) HDWD AREA 4
PJ09-01,02,03,04
Load Tuesday
</t>
    </r>
    <r>
      <rPr>
        <sz val="10"/>
        <color rgb="FF8E7CC3"/>
        <rFont val="Arial"/>
        <family val="2"/>
      </rPr>
      <t>Cone Molds and Spreader Bar Material to SS</t>
    </r>
  </si>
  <si>
    <t>(AVZ) STEVENS CREEK MH12, MH13, MH14</t>
  </si>
  <si>
    <r>
      <t xml:space="preserve">(AXQ) AMARILLO NW INTER. 183+63.33
</t>
    </r>
    <r>
      <rPr>
        <sz val="10"/>
        <color rgb="FF9900FF"/>
        <rFont val="Arial"/>
        <family val="2"/>
      </rPr>
      <t>(AZL) BROUGHTON LIFT STATION</t>
    </r>
  </si>
  <si>
    <t>MEMORIAL DAY
PLANT CLOSED</t>
  </si>
  <si>
    <r>
      <t xml:space="preserve">
</t>
    </r>
    <r>
      <rPr>
        <sz val="10"/>
        <color rgb="FF4A86E8"/>
        <rFont val="Arial"/>
        <family val="2"/>
      </rPr>
      <t xml:space="preserve">(AZR) Queen Creek MH 1,2
8:00 am
</t>
    </r>
    <r>
      <rPr>
        <sz val="10"/>
        <color rgb="FF6D9EEB"/>
        <rFont val="Arial"/>
        <family val="2"/>
      </rPr>
      <t xml:space="preserve">(AYJ) Buena Outfall
MH10,11 + (4) 3" Grade Rings
</t>
    </r>
    <r>
      <rPr>
        <sz val="10"/>
        <color rgb="FF4A86E8"/>
        <rFont val="Arial"/>
        <family val="2"/>
      </rPr>
      <t>3:00 PM</t>
    </r>
  </si>
  <si>
    <r>
      <t xml:space="preserve">(AZS) Imperial Beach Enhancement Project MH1-5
</t>
    </r>
    <r>
      <rPr>
        <sz val="10"/>
        <color rgb="FF6D9EEB"/>
        <rFont val="Arial"/>
        <family val="2"/>
      </rPr>
      <t xml:space="preserve">8:00 am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(AZX) HDWD Area 4
TRP 56,57,58</t>
    </r>
  </si>
  <si>
    <r>
      <t xml:space="preserve">(BAF) Ash Creek Materials
(1) 60x2 (1) 48x30C (4) 60x30C
(4) Epoxy
6:30 am
</t>
    </r>
    <r>
      <rPr>
        <sz val="10"/>
        <color rgb="FF4A86E8"/>
        <rFont val="Arial"/>
        <family val="2"/>
      </rPr>
      <t xml:space="preserve">(AWF) Paso Robles 
7:00 am and 8:00 am
</t>
    </r>
    <r>
      <rPr>
        <sz val="10"/>
        <color rgb="FF8E7CC3"/>
        <rFont val="Arial"/>
        <family val="2"/>
      </rPr>
      <t xml:space="preserve">
(AXY) Tequesquite
MH 33, 34, 35
Time: 8:00 am
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</si>
  <si>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9900"/>
        <rFont val="Arial"/>
        <family val="2"/>
      </rPr>
      <t xml:space="preserve">(AZX) HDWD Area 4
TRP 59,60,61,62
</t>
    </r>
    <r>
      <rPr>
        <sz val="10"/>
        <color rgb="FFFFFFFF"/>
        <rFont val="Arial"/>
        <family val="2"/>
      </rPr>
      <t xml:space="preserve">
</t>
    </r>
    <r>
      <rPr>
        <sz val="10"/>
        <color rgb="FF93C47D"/>
        <rFont val="Arial"/>
        <family val="2"/>
      </rPr>
      <t>(AZJ) Willington Rehab Remake
(1) 41x3 (2) 41x2 (1) 41x1 
(1) 41x24 Lid + Pro Rings
10:00 am -12:00 pm</t>
    </r>
  </si>
  <si>
    <r>
      <t>(AXQ) AMARILLO NW INTER. 193+71.20, 197+91.13, 202+11.06 [2 TRUCKS]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(AVZ) STEVENS CREEK MH15, MH16, MH17</t>
    </r>
  </si>
  <si>
    <t>(AXQ) AMARILLO NW INTER. 204+69.17, 207+18.96</t>
  </si>
  <si>
    <r>
      <t xml:space="preserve">(AZX) HDWD Area 4
PN01-01,02,03,04
</t>
    </r>
    <r>
      <rPr>
        <sz val="10"/>
        <color rgb="FF93C47D"/>
        <rFont val="Arial"/>
        <family val="2"/>
      </rPr>
      <t>(AZU) Old Hwy 99N
12+89.27, 14+12.16
11:00 am</t>
    </r>
    <r>
      <rPr>
        <sz val="10"/>
        <color rgb="FFEA9999"/>
        <rFont val="Arial"/>
        <family val="2"/>
      </rPr>
      <t xml:space="preserve">
</t>
    </r>
    <r>
      <rPr>
        <sz val="10"/>
        <color rgb="FFE69138"/>
        <rFont val="Arial"/>
        <family val="2"/>
      </rPr>
      <t xml:space="preserve">
</t>
    </r>
    <r>
      <rPr>
        <sz val="10"/>
        <color rgb="FF4A86E8"/>
        <rFont val="Arial"/>
        <family val="2"/>
      </rPr>
      <t>(AZR) Queen Creek MH 3,4
8:00 am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</si>
  <si>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9900"/>
        <rFont val="Arial"/>
        <family val="2"/>
      </rPr>
      <t xml:space="preserve">(AXD) Bermuda
SSMH 1,2,3
</t>
    </r>
    <r>
      <rPr>
        <sz val="10"/>
        <color rgb="FF93C47D"/>
        <rFont val="Arial"/>
        <family val="2"/>
      </rPr>
      <t>(AWC) Paxton Pump Station 
Proposed MH
9:00 am</t>
    </r>
  </si>
  <si>
    <t>(AVT) THE COLONY-North Trunk Sewer STA 47+83.98, 52+33.80</t>
  </si>
  <si>
    <r>
      <t>(AZX) HDWD AREA 4
PN01-05,06; PJ11-01,02,03</t>
    </r>
    <r>
      <rPr>
        <sz val="10"/>
        <color rgb="FFFFFFFF"/>
        <rFont val="Arial"/>
        <family val="2"/>
      </rPr>
      <t xml:space="preserve">; </t>
    </r>
    <r>
      <rPr>
        <sz val="10"/>
        <color rgb="FFFF9900"/>
        <rFont val="Arial"/>
        <family val="2"/>
      </rPr>
      <t>PK06-02 + 2ft Riser</t>
    </r>
    <r>
      <rPr>
        <sz val="10"/>
        <color rgb="FFFFFFFF"/>
        <rFont val="Arial"/>
        <family val="2"/>
      </rPr>
      <t xml:space="preserve">
</t>
    </r>
    <r>
      <rPr>
        <sz val="10"/>
        <color rgb="FF7F6000"/>
        <rFont val="Arial"/>
        <family val="2"/>
      </rPr>
      <t xml:space="preserve">
</t>
    </r>
    <r>
      <rPr>
        <sz val="10"/>
        <color rgb="FF8E7CC3"/>
        <rFont val="Arial"/>
        <family val="2"/>
      </rPr>
      <t>(ASW) Templeton
48x36 Riser
Between 8:00 am - 10:00 am</t>
    </r>
  </si>
  <si>
    <r>
      <t>(AZR) Queen Creek MH 5,6 
7:00 am
(AXY) Tequesquite
MH 36, 38, 40, 41
8:00 am
(AZN) Manhole Rehab Project
9-16
9:00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(AVN) Valley View
(3) 6" Grade Rings; 10 Buckets Grout</t>
    </r>
  </si>
  <si>
    <r>
      <t>(AZX) HDWD Area 4
PM04-01; PM05-01,02; PM09-01,02,03</t>
    </r>
    <r>
      <rPr>
        <sz val="10"/>
        <color rgb="FF4A86E8"/>
        <rFont val="Arial"/>
        <family val="2"/>
      </rPr>
      <t xml:space="preserve">
</t>
    </r>
    <r>
      <rPr>
        <sz val="10"/>
        <color rgb="FF6AA84F"/>
        <rFont val="Arial"/>
        <family val="2"/>
      </rPr>
      <t>Stuff to Texas
84x30 Lid, 84x 1 Riser
(3) 41x48 Rehabs, 41x30 Lid
12:00 PM</t>
    </r>
    <r>
      <rPr>
        <sz val="10"/>
        <color rgb="FFFFFFFF"/>
        <rFont val="Arial"/>
        <family val="2"/>
      </rPr>
      <t xml:space="preserve">
Western States
(2) 4" Grade Rings
</t>
    </r>
  </si>
  <si>
    <r>
      <t>(AWC) HI DESERT Paxton Pump, Truck 1 of 3</t>
    </r>
    <r>
      <rPr>
        <sz val="10"/>
        <color rgb="FFFFFFFF"/>
        <rFont val="Arial"/>
        <family val="2"/>
      </rPr>
      <t xml:space="preserve">
</t>
    </r>
    <r>
      <rPr>
        <sz val="10"/>
        <color rgb="FF93C47D"/>
        <rFont val="Arial"/>
        <family val="2"/>
      </rPr>
      <t>FLYASH IN</t>
    </r>
  </si>
  <si>
    <r>
      <t xml:space="preserve">(AZG) SS LIFT STATION
</t>
    </r>
    <r>
      <rPr>
        <sz val="10"/>
        <color rgb="FF00FFFF"/>
        <rFont val="Arial"/>
        <family val="2"/>
      </rPr>
      <t>(AWC) HI DESERT Paxton Pump, Truck 2 of 3</t>
    </r>
  </si>
  <si>
    <r>
      <t>(AWC) HI DESERT Paxton Pump, Truck 3 of 3</t>
    </r>
    <r>
      <rPr>
        <sz val="10"/>
        <color rgb="FFFFFFFF"/>
        <rFont val="Arial"/>
        <family val="2"/>
      </rPr>
      <t xml:space="preserve">
</t>
    </r>
    <r>
      <rPr>
        <sz val="10"/>
        <color rgb="FFD5A6BD"/>
        <rFont val="Arial"/>
        <family val="2"/>
      </rPr>
      <t>(AVZ) STEVENS CREEK MH18, MH19, MH20</t>
    </r>
  </si>
  <si>
    <t>(AUH) SE SEWER EXPANSION Sta 14+04.99, 15+53.33</t>
  </si>
  <si>
    <t>(AUH) SE SEWER EXPANSION Sta 20+35.66</t>
  </si>
  <si>
    <r>
      <t xml:space="preserve">(AZX) HDWD AREA 4
PM15-01,02; PM16-01,02; TRP 63
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(AZP) North Community Park
WW Lid
6:00 am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
(BAB) San Bernardino 
MH 26,27,36,37,38 
Extra 6",2",1" Pro Ring
7:00 am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</si>
  <si>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(AYV) Sewer Rehab Group N MH46,45,44
Delivers to Maverick &amp; Cheyenne
Between 7:00 am - 1:00 pm
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>(AXK) Loveland
60x72 Riser
7:00 am</t>
    </r>
  </si>
  <si>
    <r>
      <t>(AZD) Takara Sake 
Lift Station
6:00 am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FlyAsh To Boulder
Deliver early afternoon or 6/13/19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(AZX) HDWD Area 4
PM16-03,04,05,06; PM17-01
</t>
    </r>
  </si>
  <si>
    <r>
      <t xml:space="preserve">
</t>
    </r>
    <r>
      <rPr>
        <sz val="10"/>
        <color rgb="FFFF9900"/>
        <rFont val="Arial"/>
        <family val="2"/>
      </rPr>
      <t>(BAH) Blue Diamond West Unit 2
BDW49, BDW48, 17619152</t>
    </r>
  </si>
  <si>
    <r>
      <t xml:space="preserve">(AZX) HDWD Area 4
PO01-01,02,03,04,05; PM01-02
</t>
    </r>
    <r>
      <rPr>
        <sz val="10"/>
        <color rgb="FF8E7CC3"/>
        <rFont val="Arial"/>
        <family val="2"/>
      </rPr>
      <t>(AUI) Creekview Village
60x14
6:00 am</t>
    </r>
  </si>
  <si>
    <t>(AUK) ENO RIVER JB4 [3 Trucks]</t>
  </si>
  <si>
    <t>(AXQ) AMARILLO NW INTER. 209+51.03, 212+13.46</t>
  </si>
  <si>
    <t>(AXL) SYCAMORE CREEK S0548-1000</t>
  </si>
  <si>
    <t>(BAP) PECAN PARK REHAB
(BAL) LAKELAND MH1, MH2
(AXQ) AMARILLO NW INTER. 214+93.32, 218+03.67, 221+56.49, 7+63.33, 84" Lid</t>
  </si>
  <si>
    <t>(AZX) HDWD AREA 4
PN02-01,02; PP01-01,02,03; PO01-06</t>
  </si>
  <si>
    <r>
      <t>(AZR) Queen Creek MH 7,8
8:00 am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(BAC) Park City
17+28.40 
10:00 am</t>
    </r>
  </si>
  <si>
    <t xml:space="preserve">(AZX) HDWD AREA 4
PO01-07,08,09,10
</t>
  </si>
  <si>
    <r>
      <t>(AZR) Queen Creek MH 9,10
6:00 am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>(AXY) Tequesquite
MH 43
7:00 am</t>
    </r>
  </si>
  <si>
    <t>(AZX) HDWD AREA 4
PP01-04,05,06,07,08,09; PM06-02 BASE ONLY</t>
  </si>
  <si>
    <t>(AXQ) AMARILLO NW INTER. 225+56.10, 227+36.34, 229+44.33</t>
  </si>
  <si>
    <t>(AVT) THE COLONY-North Trunk Sewer STA 31+11.19, 33+10.62</t>
  </si>
  <si>
    <r>
      <t>(BAA) LETORT INTERCEPTOR MH-66A, MH-67A</t>
    </r>
    <r>
      <rPr>
        <sz val="10"/>
        <color rgb="FFF3F3F3"/>
        <rFont val="Arial"/>
        <family val="2"/>
      </rPr>
      <t xml:space="preserve">
</t>
    </r>
    <r>
      <rPr>
        <sz val="10"/>
        <color rgb="FF7F6000"/>
        <rFont val="Arial"/>
        <family val="2"/>
      </rPr>
      <t xml:space="preserve">(AVT) THE COLONY-North Trunk Sewer STA 34+74.98 + Lid-STA 28
</t>
    </r>
    <r>
      <rPr>
        <sz val="10"/>
        <color rgb="FF00FFFF"/>
        <rFont val="Arial"/>
        <family val="2"/>
      </rPr>
      <t>Transfer 48" Headers to BC</t>
    </r>
  </si>
  <si>
    <t xml:space="preserve"> </t>
  </si>
  <si>
    <t>(AZX) HDWD AREA 4
PO01-11,12; PO02-01;
PO05-01; PM17-01 BASE; PM01-01</t>
  </si>
  <si>
    <r>
      <t xml:space="preserve">(AZR) Queen Creek MH 11,13
6:00 am
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(BAV) Santa Paula
10-00-00,11-44-07
7:00 am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
(AVR) SASD Discharge Vault Lid
SASD LID
8:00 am</t>
    </r>
  </si>
  <si>
    <r>
      <t xml:space="preserve">
</t>
    </r>
    <r>
      <rPr>
        <sz val="10"/>
        <color rgb="FFFF9900"/>
        <rFont val="Arial"/>
        <family val="2"/>
      </rPr>
      <t>(AZX) HDWD AREA 4
PO01-13; PO04-01,02; PP03-01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Extra: (1) 48x6' (1) 48x4' (3) 48x2'
Ring and Covers 4 Pallets
</t>
    </r>
    <r>
      <rPr>
        <sz val="10"/>
        <color rgb="FF674EA7"/>
        <rFont val="Arial"/>
        <family val="2"/>
      </rPr>
      <t xml:space="preserve">
(AZI) Fashion Valley Wet Well</t>
    </r>
    <r>
      <rPr>
        <sz val="10"/>
        <color rgb="FFFF9900"/>
        <rFont val="Arial"/>
        <family val="2"/>
      </rPr>
      <t xml:space="preserve">
</t>
    </r>
    <r>
      <rPr>
        <sz val="10"/>
        <color rgb="FF674EA7"/>
        <rFont val="Arial"/>
        <family val="2"/>
      </rPr>
      <t>11:00 am</t>
    </r>
  </si>
  <si>
    <r>
      <t xml:space="preserve">(AZR) Queen Creek MH 12
6:00 am
</t>
    </r>
    <r>
      <rPr>
        <sz val="10"/>
        <color rgb="FF000000"/>
        <rFont val="Arial"/>
        <family val="2"/>
      </rPr>
      <t xml:space="preserve">McDonald's Pick Up:
(1) 6" Grade Rings (1) 4" Grade Ring (2) 3" Grade Ring
</t>
    </r>
    <r>
      <rPr>
        <sz val="10"/>
        <color rgb="FF4A86E8"/>
        <rFont val="Arial"/>
        <family val="2"/>
      </rPr>
      <t xml:space="preserve">
(AZX) HDWD AREA 4
PM06-02, 02A,03,04,05
Ring and Covers
6:00 am</t>
    </r>
  </si>
  <si>
    <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000000"/>
        <rFont val="Arial"/>
        <family val="2"/>
      </rPr>
      <t>McDonald's Pick Up:
(1) 6" Pro Rings (1) 4" Pro Ring (2) 2" Pro Rings (2) 1" Pro Rings</t>
    </r>
  </si>
  <si>
    <r>
      <t>(AXQ) AMARILLO NW INTER. 189+98.72, 233+67.41</t>
    </r>
    <r>
      <rPr>
        <sz val="10"/>
        <color rgb="FFF3F3F3"/>
        <rFont val="Arial"/>
        <family val="2"/>
      </rPr>
      <t xml:space="preserve">
</t>
    </r>
    <r>
      <rPr>
        <sz val="10"/>
        <color rgb="FF9900FF"/>
        <rFont val="Arial"/>
        <family val="2"/>
      </rPr>
      <t>(BAG) MH11-3</t>
    </r>
    <r>
      <rPr>
        <sz val="10"/>
        <color rgb="FFF3F3F3"/>
        <rFont val="Arial"/>
        <family val="2"/>
      </rPr>
      <t xml:space="preserve">
</t>
    </r>
    <r>
      <rPr>
        <sz val="10"/>
        <color rgb="FF00FFFF"/>
        <rFont val="Arial"/>
        <family val="2"/>
      </rPr>
      <t>(BAK) Replacement DH + 3' Riser</t>
    </r>
  </si>
  <si>
    <t>(BAE) RUM CREEK OUTFALL MH1, MH2, MH3, MH4 [2 Trucks]</t>
  </si>
  <si>
    <t>(AXQ) AMARILLO NW INTER. 0+50.00(B), 3+68.03(B), 7+41.98(B), 8+32.27(B)</t>
  </si>
  <si>
    <t>(ASF) LOWER WALNUT SSMH-01 [2 Trucks]</t>
  </si>
  <si>
    <r>
      <t xml:space="preserve">(AZX) HDWD AREA 4
PK01-12,13,14,15,16,17
</t>
    </r>
    <r>
      <rPr>
        <sz val="10"/>
        <color rgb="FF4A86E8"/>
        <rFont val="Arial"/>
        <family val="2"/>
      </rPr>
      <t>(BAV) Santa Paula
10-00-00 Base Only, 
11-44-07 Base Only,
14-54-07,17-64-07
11:00 am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(BAU) Fort Bliss Rehabs
MH 1188,1189,1191,1193,1194,1195,
1196,3692,3693,3697
7:00 am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(AUV) Phoenix Project
60x17" Riser and 60x30 Lid
6:00 am</t>
    </r>
  </si>
  <si>
    <t>(BAI) HDWD Area 5
TRP 64,65,66; PM04-02,03</t>
  </si>
  <si>
    <t>INDEPENDENCE DAY
Plant Closed</t>
  </si>
  <si>
    <t>Plant Closed</t>
  </si>
  <si>
    <r>
      <t>(BAN) EDMOND SANTA FE CREEK Sta 12+50.00, 16+11.85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(AVT) THE COLONY-North Trunk Sewer STA 36+81.59, 37+97.61</t>
    </r>
  </si>
  <si>
    <r>
      <t>(BAU) Fort Bliss Rehabs
3698,3699,3701,3704,4097
10:00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(BAI) HDWD Area 5
PM04-04,05,06, PQ01-01
</t>
    </r>
    <r>
      <rPr>
        <sz val="10"/>
        <color rgb="FF8E7CC3"/>
        <rFont val="Arial"/>
        <family val="2"/>
      </rPr>
      <t>(BAM) Daniels Street Extension
SSMH 11
11:00 AM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>(AXY) Tequesquite
60x2 and 60x3 Riser
10:00 am</t>
    </r>
  </si>
  <si>
    <r>
      <t xml:space="preserve">
</t>
    </r>
    <r>
      <rPr>
        <sz val="10"/>
        <color rgb="FF4A86E8"/>
        <rFont val="Arial"/>
        <family val="2"/>
      </rPr>
      <t>(BAT) Archer Meadows Parcel
SSMH 87, 01
6:00 am
(BAT) Archer Meadows Parcel
SSMH 02,04
7:00 am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 xml:space="preserve">(BAW) NDSD CIPP
LS13035,36,37
8:00 am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(BAY) Maule-Rogers Residential
17706002, 17706003
</t>
    </r>
    <r>
      <rPr>
        <sz val="10"/>
        <color rgb="FF93C47D"/>
        <rFont val="Arial"/>
        <family val="2"/>
      </rPr>
      <t xml:space="preserve">
Flyash Pick Up
12:00 pm</t>
    </r>
  </si>
  <si>
    <t>(BAN) EDMOND SANTA FE CREEK Sta 19+73.69, 22+22.34</t>
  </si>
  <si>
    <t>FLYASH IN</t>
  </si>
  <si>
    <t>(AVT) THE COLONY-North Trunk Sewer STA 56+87.07, 58+14.79</t>
  </si>
  <si>
    <t>UNSCHEDULED</t>
  </si>
  <si>
    <t>Unscheduled</t>
  </si>
  <si>
    <t>Jim</t>
  </si>
  <si>
    <t>RUEBEN</t>
  </si>
  <si>
    <t>CURTIS</t>
  </si>
  <si>
    <t>Norman</t>
  </si>
  <si>
    <t>PALADIN FREIGHT SOLUTIONS</t>
  </si>
  <si>
    <t>Legacy Transportation Systems</t>
  </si>
  <si>
    <t>Rusty Daniels Trucking</t>
  </si>
  <si>
    <t>Border 2 Border</t>
  </si>
  <si>
    <r>
      <t xml:space="preserve">
</t>
    </r>
    <r>
      <rPr>
        <sz val="10"/>
        <color rgb="FFFF9900"/>
        <rFont val="Arial"/>
        <family val="2"/>
      </rPr>
      <t xml:space="preserve">(BAI) HDWD Area 5
PQ01-01A,01B,02,03,04,05
</t>
    </r>
    <r>
      <rPr>
        <sz val="10"/>
        <color rgb="FFFFFFFF"/>
        <rFont val="Arial"/>
        <family val="2"/>
      </rPr>
      <t xml:space="preserve">
</t>
    </r>
    <r>
      <rPr>
        <sz val="10"/>
        <color rgb="FF93C47D"/>
        <rFont val="Arial"/>
        <family val="2"/>
      </rPr>
      <t xml:space="preserve">Flyash In
</t>
    </r>
    <r>
      <rPr>
        <sz val="10"/>
        <color rgb="FFFF9900"/>
        <rFont val="Arial"/>
        <family val="2"/>
      </rPr>
      <t xml:space="preserve">
Western States
(2) 3" Grade Rings</t>
    </r>
  </si>
  <si>
    <r>
      <t xml:space="preserve">
</t>
    </r>
    <r>
      <rPr>
        <sz val="10"/>
        <color rgb="FFFF9900"/>
        <rFont val="Arial"/>
        <family val="2"/>
      </rPr>
      <t xml:space="preserve">(BAY) Maule-Rogers Residential
17706004, 17706005
</t>
    </r>
    <r>
      <rPr>
        <sz val="10"/>
        <color rgb="FFFFFFFF"/>
        <rFont val="Arial"/>
        <family val="2"/>
      </rPr>
      <t xml:space="preserve">
</t>
    </r>
    <r>
      <rPr>
        <sz val="10"/>
        <color rgb="FF93C47D"/>
        <rFont val="Arial"/>
        <family val="2"/>
      </rPr>
      <t xml:space="preserve">(AVT) Colony
Going To SS Plant
16+77.06 Base, (7) 24"x3" Grade Rings, Rehab Pallet, BobCat Welder,(2) S206-30 Boots Fill 48x24 Cones
6:00 am </t>
    </r>
  </si>
  <si>
    <r>
      <t xml:space="preserve">(BAI) HDWD Area 5
PM06-01, PM10-01,02, PM11-01,02
</t>
    </r>
    <r>
      <rPr>
        <sz val="10"/>
        <color rgb="FF4A86E8"/>
        <rFont val="Arial"/>
        <family val="2"/>
      </rPr>
      <t>(AYM) HDWD
Pump Station (2 Trucks)
6:00 and 6:30 am</t>
    </r>
    <r>
      <rPr>
        <sz val="10"/>
        <color rgb="FFFFFFFF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(AYG) Haymar
48x32" Riser
12:00 pm Customer Pick Up</t>
    </r>
  </si>
  <si>
    <r>
      <t xml:space="preserve">(AVT) THE COLONY-North Trunk Sewer STA 40+99.01, 43+34.08
</t>
    </r>
    <r>
      <rPr>
        <sz val="10"/>
        <color rgb="FF674EA7"/>
        <rFont val="Arial"/>
        <family val="2"/>
      </rPr>
      <t>(AXQ) AMARILLO NW INTER. Sta 9+22.37(B), 14+63.54(B), 18+40.30(B), 21+81.03(B)</t>
    </r>
    <r>
      <rPr>
        <sz val="10"/>
        <color rgb="FFF3F3F3"/>
        <rFont val="Arial"/>
        <family val="2"/>
      </rPr>
      <t xml:space="preserve">
</t>
    </r>
    <r>
      <rPr>
        <sz val="10"/>
        <color rgb="FF93C47D"/>
        <rFont val="Arial"/>
        <family val="2"/>
      </rPr>
      <t>(BAO) University Blvd MH
(BAQ) Atlantic Blvd MH
(BAR) Wildwood Rd MH</t>
    </r>
  </si>
  <si>
    <r>
      <t xml:space="preserve">(BAI) HDWD Area 5
PQ01-06,07,08,09,10,11
</t>
    </r>
    <r>
      <rPr>
        <sz val="10"/>
        <color rgb="FF8E7CC3"/>
        <rFont val="Arial"/>
        <family val="2"/>
      </rPr>
      <t>(AYM) HDWD Diversion MH, Drop MH 
6:00 am</t>
    </r>
    <r>
      <rPr>
        <sz val="10"/>
        <color rgb="FFFF9900"/>
        <rFont val="Arial"/>
        <family val="2"/>
      </rPr>
      <t xml:space="preserve">
</t>
    </r>
    <r>
      <rPr>
        <sz val="10"/>
        <color rgb="FF4A86E8"/>
        <rFont val="Arial"/>
        <family val="2"/>
      </rPr>
      <t>(AZW) Payson City
SSMH 16,15
7:00 am
(AZW) Payson City
SSMH 14,13
8:00 am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</si>
  <si>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(BAT) Archer Meadows Parcel
SSMH 09,10 + (5) 8" Pipe Bands + (2) 4" Pro Ring + (2) 6" Pro Ring 
7:00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(AYV) Sewer Rehab Group N MH43,42,41
MAVERICK YARD</t>
    </r>
  </si>
  <si>
    <r>
      <t xml:space="preserve">
(BAI) HDWD Area 5
PM07-01,02; PS01-01,02,03,04
</t>
    </r>
    <r>
      <rPr>
        <sz val="10"/>
        <color rgb="FF93C47D"/>
        <rFont val="Arial"/>
        <family val="2"/>
      </rPr>
      <t>TRANSFER TO TEXAS
72 INDIAN MOLDS + (2) 48"x48" rehabs
7:00 am</t>
    </r>
  </si>
  <si>
    <t>(BAI) HDWD Area 5
PS01-05,06; KB02-04,05,06,07</t>
  </si>
  <si>
    <r>
      <t xml:space="preserve">
(BAI) HDWD Area 5
PM07-03,04,05,06
</t>
    </r>
    <r>
      <rPr>
        <sz val="10"/>
        <color rgb="FF8E7CC3"/>
        <rFont val="Arial"/>
        <family val="2"/>
      </rPr>
      <t>REHABS TO FL
(6) of all sizes, Band Stand, 
Bag o Rivets, 24 Unmade Bands
11:00 am</t>
    </r>
    <r>
      <rPr>
        <sz val="10"/>
        <color rgb="FFFFFFFF"/>
        <rFont val="Arial"/>
        <family val="2"/>
      </rPr>
      <t xml:space="preserve">
</t>
    </r>
    <r>
      <rPr>
        <sz val="10"/>
        <color rgb="FF93C47D"/>
        <rFont val="Arial"/>
        <family val="2"/>
      </rPr>
      <t>MOLDS TO TX
Remainder of Indian Molds, 
(BBI) MH4 Rehabs, (1) 48x1 (1) 48x4
Rehab, 48X1 No Bell, 60x1 No Bell
9:00 am</t>
    </r>
  </si>
  <si>
    <r>
      <t xml:space="preserve">(AUK) ENO RIVER JB5 Truck #1
</t>
    </r>
    <r>
      <rPr>
        <sz val="10"/>
        <color rgb="FF9900FF"/>
        <rFont val="Arial"/>
        <family val="2"/>
      </rPr>
      <t>Truck #2, Truck #3</t>
    </r>
    <r>
      <rPr>
        <sz val="10"/>
        <color rgb="FFF3F3F3"/>
        <rFont val="Arial"/>
        <family val="2"/>
      </rPr>
      <t xml:space="preserve">
</t>
    </r>
    <r>
      <rPr>
        <sz val="10"/>
        <color rgb="FF6AA84F"/>
        <rFont val="Arial"/>
        <family val="2"/>
      </rPr>
      <t>(AZY) CRYSTAL ISLE RV RESORT Lift Station, Receiving MH</t>
    </r>
    <r>
      <rPr>
        <sz val="10"/>
        <color rgb="FFF3F3F3"/>
        <rFont val="Arial"/>
        <family val="2"/>
      </rPr>
      <t xml:space="preserve">
</t>
    </r>
    <r>
      <rPr>
        <sz val="10"/>
        <color rgb="FF9900FF"/>
        <rFont val="Arial"/>
        <family val="2"/>
      </rPr>
      <t>(BAG) SPIS 7122-8151 L0524-00000, S0572-1000</t>
    </r>
  </si>
  <si>
    <t>(AXQ) AMARILLO NW INTER. Sta 26+00.12(B), 27+25.79(B), 30+17.00(B), 33+21.75(B), 
Replacement S0572-1100</t>
  </si>
  <si>
    <t>(AUH) SACHSE (2)S106-12WS Boots
(AVT) THE COLONY-North Trunk Sewer STA 46+44.66, S0648-1000, (2) L0630-00000</t>
  </si>
  <si>
    <r>
      <t>(BAG) SPIS 7122-8151 S0548-1000</t>
    </r>
    <r>
      <rPr>
        <sz val="10"/>
        <color rgb="FFF3F3F3"/>
        <rFont val="Arial"/>
        <family val="2"/>
      </rPr>
      <t xml:space="preserve">
</t>
    </r>
    <r>
      <rPr>
        <sz val="10"/>
        <color rgb="FFFF0000"/>
        <rFont val="Arial"/>
        <family val="2"/>
      </rPr>
      <t>(AZG) SS Lift Station Replacement Riser</t>
    </r>
  </si>
  <si>
    <r>
      <t xml:space="preserve">
(BAI) HDWD Area 5
PQ01-12,13,14; PS01-07,08,09
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(BBC) Rancho Vistoso
Everything Except Lid
7:00 am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(BBE) BROOKS LANE
SSMH 01-02
9:00 AM</t>
    </r>
  </si>
  <si>
    <t xml:space="preserve">
</t>
  </si>
  <si>
    <r>
      <t xml:space="preserve">
</t>
    </r>
    <r>
      <rPr>
        <sz val="10"/>
        <color rgb="FFFF9900"/>
        <rFont val="Arial"/>
        <family val="2"/>
      </rPr>
      <t xml:space="preserve">
(BAI) HDWD Area 5
PQ03-01,02; PS04-01; PS01-10; PS05-01; PS06-01; (2) 48x2</t>
    </r>
  </si>
  <si>
    <t>(BBD) Pecan WWTP 
60 Rehab
Eventually</t>
  </si>
  <si>
    <r>
      <t>(AYM) HDWD Metering Vault (Q7248), Valve Vault (Q9672)</t>
    </r>
    <r>
      <rPr>
        <sz val="10"/>
        <color rgb="FFF3F3F3"/>
        <rFont val="Arial"/>
        <family val="2"/>
      </rPr>
      <t xml:space="preserve">
</t>
    </r>
    <r>
      <rPr>
        <sz val="10"/>
        <color rgb="FF6AA84F"/>
        <rFont val="Arial"/>
        <family val="2"/>
      </rPr>
      <t>(AXQ) AMARILLO NW INTER. Sta 36+47.73(B), 40+62.12(B), 45+73.72(B), 49+79.45(B)</t>
    </r>
  </si>
  <si>
    <t>(AXQ) AMARILLO NW INTER. Sta 53+20.02(B), 58+95.76(B), 64+05.39(B)</t>
  </si>
  <si>
    <t>TALL GRASS</t>
  </si>
  <si>
    <r>
      <t xml:space="preserve">
</t>
    </r>
    <r>
      <rPr>
        <sz val="10"/>
        <color rgb="FFFF9900"/>
        <rFont val="Arial"/>
        <family val="2"/>
      </rPr>
      <t xml:space="preserve">(BAI) HDWD Area 5
PR01-01,02,03,04,05; 
PS09-01; (1) 48x2
</t>
    </r>
    <r>
      <rPr>
        <sz val="10"/>
        <color rgb="FF4A86E8"/>
        <rFont val="Arial"/>
        <family val="2"/>
      </rPr>
      <t xml:space="preserve">(AZW) Payson City 
SSMH 12,11 
6:00 am
</t>
    </r>
    <r>
      <rPr>
        <sz val="10"/>
        <color rgb="FFFF9900"/>
        <rFont val="Arial"/>
        <family val="2"/>
      </rPr>
      <t xml:space="preserve">
</t>
    </r>
    <r>
      <rPr>
        <sz val="10"/>
        <color rgb="FF93C47D"/>
        <rFont val="Arial"/>
        <family val="2"/>
      </rPr>
      <t>(BBA) Bailey Sewer Lift Station
MH 1, 2, 3
8:00 am 
(BBO) Express Plumbing 
MH 1,2 
9:00 am
(BBA) Bailey Sewer Lift Station 
Lift Station
12:00 pm</t>
    </r>
    <r>
      <rPr>
        <sz val="10"/>
        <color rgb="FFFFFFFF"/>
        <rFont val="Arial"/>
        <family val="2"/>
      </rPr>
      <t xml:space="preserve">
</t>
    </r>
  </si>
  <si>
    <r>
      <t xml:space="preserve">
(AYV) Sewer Rehab Group N MH39,38
(Maverick Yard)
</t>
    </r>
    <r>
      <rPr>
        <sz val="10"/>
        <color rgb="FFB45F06"/>
        <rFont val="Arial"/>
        <family val="2"/>
      </rPr>
      <t>(BBG) Marina Del Rey
STA 1+90, 3+02.36, 3+58.81
6:00 am</t>
    </r>
    <r>
      <rPr>
        <sz val="10"/>
        <color rgb="FFFFFFFF"/>
        <rFont val="Arial"/>
        <family val="2"/>
      </rPr>
      <t xml:space="preserve">
</t>
    </r>
    <r>
      <rPr>
        <sz val="10"/>
        <color rgb="FF93C47D"/>
        <rFont val="Arial"/>
        <family val="2"/>
      </rPr>
      <t xml:space="preserve">(BBL) GOLETA PHELPS ROAD
MH 017,016,015
7:00 am
</t>
    </r>
    <r>
      <rPr>
        <sz val="10"/>
        <color rgb="FFB45F06"/>
        <rFont val="Arial"/>
        <family val="2"/>
      </rPr>
      <t>(AXY) Grade Rings
(4) 6" (2) 4" (6) 3"
11:00 am</t>
    </r>
  </si>
  <si>
    <r>
      <t xml:space="preserve">
</t>
    </r>
    <r>
      <rPr>
        <sz val="10"/>
        <color rgb="FFFF9900"/>
        <rFont val="Arial"/>
        <family val="2"/>
      </rPr>
      <t xml:space="preserve">(BAI) HDWD Area 5
PR01-06,07,08,09,10,11
</t>
    </r>
    <r>
      <rPr>
        <sz val="10"/>
        <color rgb="FF7F6000"/>
        <rFont val="Arial"/>
        <family val="2"/>
      </rPr>
      <t xml:space="preserve">
</t>
    </r>
    <r>
      <rPr>
        <sz val="10"/>
        <color rgb="FFB45F06"/>
        <rFont val="Arial"/>
        <family val="2"/>
      </rPr>
      <t>(AWC) HDWD Paxton
New Manhole
6:00 am
(BBM) Santa Cecila No. 3
MH 01, 02, 03, 04
7:00 am</t>
    </r>
  </si>
  <si>
    <t>(BAN) EDMOND SANTA FE CREEK Sta 25+99.75, 27+56.01</t>
  </si>
  <si>
    <t>(AXQ) AMARILLO NW INTER. Sta 69+06.03(B), 70+79.29(B), Cored Riser for 189+98.72
(BAA) Letort Interceptor MH 472, S0624</t>
  </si>
  <si>
    <t>(BAW) NDSD CIPP
LS13038,39,40,41 + 16" FRP BOOT
6:00 am</t>
  </si>
  <si>
    <r>
      <t xml:space="preserve">
</t>
    </r>
    <r>
      <rPr>
        <sz val="10"/>
        <color rgb="FFFF9900"/>
        <rFont val="Arial"/>
        <family val="2"/>
      </rPr>
      <t>(BAI) HDWD Area 5
PR01-12,13,14; PS02-01,02,03;</t>
    </r>
  </si>
  <si>
    <t xml:space="preserve">
(BAI) HDWD Area 5
PS08-01; PM07-07,08; PR05-01; PM12-01; PM13-01
</t>
  </si>
  <si>
    <r>
      <t xml:space="preserve">
</t>
    </r>
    <r>
      <rPr>
        <sz val="10"/>
        <color rgb="FFFF9900"/>
        <rFont val="Arial"/>
        <family val="2"/>
      </rPr>
      <t xml:space="preserve">(BAJ) HDWD Area 6
TRP 67,68,69,70,71,72
</t>
    </r>
    <r>
      <rPr>
        <sz val="10"/>
        <color rgb="FFB45F06"/>
        <rFont val="Arial"/>
        <family val="2"/>
      </rPr>
      <t xml:space="preserve">(BBM) Santa Cecila No. 3
MH 05, 06, 07, 08
8:00 am
</t>
    </r>
    <r>
      <rPr>
        <sz val="10"/>
        <color rgb="FF674EA7"/>
        <rFont val="Arial"/>
        <family val="2"/>
      </rPr>
      <t>(BAU) FORT BLISS
MH 3694, 3695, 3696
10:00 am</t>
    </r>
  </si>
  <si>
    <r>
      <t xml:space="preserve">
</t>
    </r>
    <r>
      <rPr>
        <sz val="10"/>
        <color rgb="FF4A86E8"/>
        <rFont val="Arial"/>
        <family val="2"/>
      </rPr>
      <t xml:space="preserve">(BBS) HARVEST AT LIMONEIRA
SSMH 146,147,148
6:00 am
(BBU) CLOUD ROAD
MH 10, 13
LATE 
</t>
    </r>
    <r>
      <rPr>
        <sz val="10"/>
        <color rgb="FF38761D"/>
        <rFont val="Arial"/>
        <family val="2"/>
      </rPr>
      <t>(BBC) Rancho Vistoso
Lid
10:00 am</t>
    </r>
    <r>
      <rPr>
        <sz val="10"/>
        <color rgb="FFFFFFFF"/>
        <rFont val="Arial"/>
        <family val="2"/>
      </rPr>
      <t xml:space="preserve">
</t>
    </r>
  </si>
  <si>
    <t xml:space="preserve">
(BAJ) HDWD Area 6
TRP 73,74,75, PT01-01,02,03</t>
  </si>
  <si>
    <t>(AVT) THE COLONY-North Trunk Sewer S0672 (Qty:3), S0636 (Qty:1)</t>
  </si>
  <si>
    <t>(BAZ) PHARR WOODBERRY 
MH A-26, A-27, A-28</t>
  </si>
  <si>
    <r>
      <t xml:space="preserve">
</t>
    </r>
    <r>
      <rPr>
        <sz val="10"/>
        <color rgb="FFFF9900"/>
        <rFont val="Arial"/>
        <family val="2"/>
      </rPr>
      <t>(BAI) HDWD Area 5
PM14-01; PR03-01; PR04-01; 
KB08-01,02,03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(BBR) Tempe Sewer Improvements
MH 100,101,102
+ R&amp;C Standard for filler
8:00 am</t>
    </r>
  </si>
  <si>
    <r>
      <t xml:space="preserve">
</t>
    </r>
    <r>
      <rPr>
        <sz val="10"/>
        <color rgb="FFFF9900"/>
        <rFont val="Arial"/>
        <family val="2"/>
      </rPr>
      <t>(AYV) Sewer Rehab Group N MH37B,37A,37,36
Maverick Yard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>(BBQ) Harvest At Limoneira
SSMH 509, 510
+ Extra Pro Ring BBS
7:00 am</t>
    </r>
    <r>
      <rPr>
        <sz val="10"/>
        <color rgb="FFFFFFFF"/>
        <rFont val="Arial"/>
        <family val="2"/>
      </rPr>
      <t xml:space="preserve">
</t>
    </r>
    <r>
      <rPr>
        <sz val="10"/>
        <color rgb="FF93C47D"/>
        <rFont val="Arial"/>
        <family val="2"/>
      </rPr>
      <t>(BBU) CLOUD ROAD
MH 14, 15
10:00 am</t>
    </r>
  </si>
  <si>
    <r>
      <t>(BBM) Santa Cecila No. 3
MH 09, 10, 11, 12, 13
8:00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(BAI) HDWD Area 5
KB09-01,02; KB02-08,09; 
</t>
    </r>
  </si>
  <si>
    <r>
      <t xml:space="preserve">(BBQ) Harvest At Limoneira
SSMH 511, 512
7:00 am
</t>
    </r>
    <r>
      <rPr>
        <sz val="10"/>
        <color rgb="FFFF9900"/>
        <rFont val="Arial"/>
        <family val="2"/>
      </rPr>
      <t>(AYV) Sewer Rehab Group N
MH29,28
Maverick Yard</t>
    </r>
  </si>
  <si>
    <t>(BAJ) HDWD Area 6
PT01-04,05,06,07,08</t>
  </si>
  <si>
    <t>(BAN) EDMOND SANTA FE CREEK Sta 29+32.75, 30+42.07, 31+25.34</t>
  </si>
  <si>
    <t>(AVT) THE COLONY-North Trunk Sewer STA 16+77.06 (84" base), S0672-1000</t>
  </si>
  <si>
    <r>
      <t xml:space="preserve">
</t>
    </r>
    <r>
      <rPr>
        <sz val="10"/>
        <color rgb="FF4A86E8"/>
        <rFont val="Arial"/>
        <family val="2"/>
      </rPr>
      <t>(BBP) Signal Butte
MH39,40; MH 4 BASE ONLY
6:00 am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(AVM) Ceres Trunk
Both Lids
7:30 am
(</t>
    </r>
    <r>
      <rPr>
        <sz val="10"/>
        <color rgb="FF8E7CC3"/>
        <rFont val="Arial"/>
        <family val="2"/>
      </rPr>
      <t xml:space="preserve">BBK) 24TH DRIVE SHOW LOW
MH 01,02,03 + 48x3' Riser
9:30 am
</t>
    </r>
    <r>
      <rPr>
        <sz val="10"/>
        <color rgb="FF6AA84F"/>
        <rFont val="Arial"/>
        <family val="2"/>
      </rPr>
      <t>(BBP) Signal Butte
MH41,42
10:30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(BAJ) HDWD Area 6
PT01-09,10,11,12; PT02-01,02</t>
    </r>
  </si>
  <si>
    <r>
      <t xml:space="preserve">
</t>
    </r>
    <r>
      <rPr>
        <sz val="10"/>
        <color rgb="FFFF9900"/>
        <rFont val="Arial"/>
        <family val="2"/>
      </rPr>
      <t>(AUZ) St George
MH 81, 566</t>
    </r>
    <r>
      <rPr>
        <sz val="10"/>
        <color rgb="FFFFFFFF"/>
        <rFont val="Arial"/>
        <family val="2"/>
      </rPr>
      <t xml:space="preserve">
</t>
    </r>
  </si>
  <si>
    <r>
      <t>(BBB) CASTLE COURT LS
9:30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(BAJ) HDWD Area 6
PV01-07,08; KB01-01,02,03: KB01-04 NO BASE</t>
    </r>
  </si>
  <si>
    <r>
      <t xml:space="preserve">
</t>
    </r>
    <r>
      <rPr>
        <sz val="10"/>
        <color rgb="FFFF9900"/>
        <rFont val="Arial"/>
        <family val="2"/>
      </rPr>
      <t xml:space="preserve">(BAJ) HDWD Area 6
PV01-01,02,03,04,05,06
+ (5) S406-12BWS BOOTS
</t>
    </r>
    <r>
      <rPr>
        <sz val="10"/>
        <color rgb="FF4A86E8"/>
        <rFont val="Arial"/>
        <family val="2"/>
      </rPr>
      <t xml:space="preserve">(BBQ) Harvest At Limoneira
SSMH 513, 514, 515
7:30 am
Same Truck as Modesto Return
</t>
    </r>
    <r>
      <rPr>
        <sz val="10"/>
        <color rgb="FFFF0000"/>
        <rFont val="Arial"/>
        <family val="2"/>
      </rPr>
      <t>(AZO) Jones and Russell
72"x2' riser; 3" Grade Ring</t>
    </r>
  </si>
  <si>
    <r>
      <t xml:space="preserve">
</t>
    </r>
    <r>
      <rPr>
        <sz val="10"/>
        <color rgb="FFFF9900"/>
        <rFont val="Arial"/>
        <family val="2"/>
      </rPr>
      <t>(AYV) Sewer Rehab Group N
MH27,27S
Maverick Yard</t>
    </r>
  </si>
  <si>
    <t>(AUK) ENO RIVER JB6, [3 TRUCKS]</t>
  </si>
  <si>
    <t>(BAZ) Pharr Woodberry MH A-29, A-30, N-1, N-2</t>
  </si>
  <si>
    <r>
      <t xml:space="preserve">(BAJ) HDWD Area 6
KB01-05,06,07,08,09,10
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 xml:space="preserve">(BBK) 24TH DRIVE SHOW LOW
MH 04,05,06
8:00 am
</t>
    </r>
    <r>
      <rPr>
        <sz val="10"/>
        <color rgb="FFFFFFFF"/>
        <rFont val="Arial"/>
        <family val="2"/>
      </rPr>
      <t xml:space="preserve">
</t>
    </r>
  </si>
  <si>
    <r>
      <t xml:space="preserve">(AYV) Sewer Rehab Group N MH35,34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(BBR) Tempe Sewer Improvements
MH 103,104, s0512-0000
10:00 AM
</t>
    </r>
    <r>
      <rPr>
        <sz val="10"/>
        <color rgb="FFFFFF00"/>
        <rFont val="Arial"/>
        <family val="2"/>
      </rPr>
      <t>(AWC) Paxton
s0524-0000 and Ring no Cover</t>
    </r>
  </si>
  <si>
    <r>
      <t xml:space="preserve">(BAJ) HDWD Area 6
KB01-11,12,13; PT03-01, PT04-01, PT04-02
</t>
    </r>
    <r>
      <rPr>
        <sz val="10"/>
        <color rgb="FF6AA84F"/>
        <rFont val="Arial"/>
        <family val="2"/>
      </rPr>
      <t xml:space="preserve">(BBU) Cloud Road
MH Ext 3 + Extra 60"x36" Riser
10:00 AM
</t>
    </r>
  </si>
  <si>
    <r>
      <t>(BBZ) Woodland
MH 02,03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B45F06"/>
        <rFont val="Arial"/>
        <family val="2"/>
      </rPr>
      <t xml:space="preserve">(BCC) Coachella
s0536-0000 c0536-000
7:30 am
</t>
    </r>
    <r>
      <rPr>
        <sz val="10"/>
        <color rgb="FFFFFF00"/>
        <rFont val="Arial"/>
        <family val="2"/>
      </rPr>
      <t xml:space="preserve">(BAJ) HDWD Area 6
PW02-01,PW02-02 NO BASE; 
PW03-01,PW03-02 NO BASE; 
KA02-01,02
6:00 am Same Day
</t>
    </r>
    <r>
      <rPr>
        <sz val="10"/>
        <color rgb="FFB45F06"/>
        <rFont val="Arial"/>
        <family val="2"/>
      </rPr>
      <t xml:space="preserve">
(BAJ) HDWD Area 6
KA01-02,03,04,05
10:00 am</t>
    </r>
  </si>
  <si>
    <t xml:space="preserve">(BAJ) HDWD Area 6
PW01-01,02,04; PT04-03,04
PW01-03 No Base
</t>
  </si>
  <si>
    <r>
      <t xml:space="preserve">
</t>
    </r>
    <r>
      <rPr>
        <sz val="10"/>
        <color rgb="FFFF00FF"/>
        <rFont val="Arial"/>
        <family val="2"/>
      </rPr>
      <t>(BAE) RUM CREEK OUTFALL S0572-1000</t>
    </r>
  </si>
  <si>
    <t>Labor Day</t>
  </si>
  <si>
    <r>
      <t>(BAJ) HDWD Area 6
PW01-05,06,07; PT04-05,06,07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(BBP) Signal Butte
MH 05,06
6:00 am
</t>
    </r>
    <r>
      <rPr>
        <sz val="10"/>
        <color rgb="FF6AA84F"/>
        <rFont val="Arial"/>
        <family val="2"/>
      </rPr>
      <t xml:space="preserve">(BBX) Grand Forks
801
7:30 am
(BBX) Grand Forks
122,1336
8:15 am
</t>
    </r>
    <r>
      <rPr>
        <sz val="10"/>
        <color rgb="FF674EA7"/>
        <rFont val="Arial"/>
        <family val="2"/>
      </rPr>
      <t>(BBK) 24TH DRIVE SHOW LOW
MH 07,08,09
9:30 am</t>
    </r>
  </si>
  <si>
    <r>
      <t>(BAJ) HDWD Area 6
PW01-08,PW01-09 NO BASE; KA01-01</t>
    </r>
    <r>
      <rPr>
        <sz val="10"/>
        <color rgb="FFFFFFFF"/>
        <rFont val="Arial"/>
        <family val="2"/>
      </rPr>
      <t xml:space="preserve">
</t>
    </r>
    <r>
      <rPr>
        <sz val="10"/>
        <color rgb="FFB45F06"/>
        <rFont val="Arial"/>
        <family val="2"/>
      </rPr>
      <t xml:space="preserve">(AUR) Vista Village
MH 10 Ring and Covers 
6:00 am </t>
    </r>
    <r>
      <rPr>
        <sz val="10"/>
        <color rgb="FFFFFFFF"/>
        <rFont val="Arial"/>
        <family val="2"/>
      </rPr>
      <t xml:space="preserve">
</t>
    </r>
    <r>
      <rPr>
        <sz val="10"/>
        <color rgb="FFB45F06"/>
        <rFont val="Arial"/>
        <family val="2"/>
      </rPr>
      <t>(AUR) Vista Village 
MH 11 
6:45 am 
(AUR) Vista Village 
MH 12 
7:30 am 
(AUR) Vista Village 
MH 13 
8:15 am</t>
    </r>
  </si>
  <si>
    <r>
      <t>(BBY) Inspirada
MH 13,18,45,47
First Truck
(AYV) Sewer Rehab Group N MH26,25
Second Truck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(BCA) SANTA PAULA TRACT
MH 1
10 am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(BBQ) Harvest at Limoneira
SSMH 501,501A,502</t>
    </r>
    <r>
      <rPr>
        <sz val="10"/>
        <color rgb="FFFFFFFF"/>
        <rFont val="Arial"/>
        <family val="2"/>
      </rPr>
      <t xml:space="preserve">
</t>
    </r>
    <r>
      <rPr>
        <sz val="10"/>
        <color rgb="FFB45F06"/>
        <rFont val="Arial"/>
        <family val="2"/>
      </rPr>
      <t xml:space="preserve">
(BBM) Santa Cecila No. 3
MH 01 + Extra Material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
(AYJ) Buena Outfall
MH 12-15
9:30 am
FLYASH</t>
    </r>
  </si>
  <si>
    <t>(BAJ) HDWD Area 6
PU01-01, 02, 03, 04, 05, 06
10:00 am</t>
  </si>
  <si>
    <t>(BBI) TRESCA RD
(BBJ) MAIN ST FORCE</t>
  </si>
  <si>
    <t>(BBH) Rock Creek Int MH B-01, MH B-02</t>
  </si>
  <si>
    <r>
      <t xml:space="preserve">(BBH) Rock Creek Int MH A-17
</t>
    </r>
    <r>
      <rPr>
        <sz val="10"/>
        <color rgb="FFFF00FF"/>
        <rFont val="Arial"/>
        <family val="2"/>
      </rPr>
      <t>(BAN) EDMOND SANTA FE CREEK INTERCEPTOR STA 35+63.55, 37+10.23, S0672-1000, S206-42 Boot</t>
    </r>
  </si>
  <si>
    <r>
      <t xml:space="preserve">
</t>
    </r>
    <r>
      <rPr>
        <sz val="10"/>
        <color rgb="FF4A86E8"/>
        <rFont val="Arial"/>
        <family val="2"/>
      </rPr>
      <t xml:space="preserve">
(BBL) GOLETA PHELPS ROAD
MH 014,013
7:00 am
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
</t>
    </r>
    <r>
      <rPr>
        <sz val="10"/>
        <color rgb="FFFF9900"/>
        <rFont val="Arial"/>
        <family val="2"/>
      </rPr>
      <t>(BAJ) HDWD Area 6
KA02-03, 04, 05, 06</t>
    </r>
  </si>
  <si>
    <r>
      <t xml:space="preserve">
</t>
    </r>
    <r>
      <rPr>
        <sz val="10"/>
        <color rgb="FF4A86E8"/>
        <rFont val="Arial"/>
        <family val="2"/>
      </rPr>
      <t xml:space="preserve">(BBK) 24TH DRIVE SHOW LOW
MH 10, 11, 12
7:00 am
</t>
    </r>
    <r>
      <rPr>
        <sz val="10"/>
        <color rgb="FFFF9900"/>
        <rFont val="Arial"/>
        <family val="2"/>
      </rPr>
      <t>Western States
(1) 2" GR (1) 3" GR</t>
    </r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</si>
  <si>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(BAJ) HDWD Area 6
KA03-01,02,03; PU01-07,08,09
</t>
    </r>
    <r>
      <rPr>
        <sz val="10"/>
        <color rgb="FF6AA84F"/>
        <rFont val="Arial"/>
        <family val="2"/>
      </rPr>
      <t>(BBU) Cloud Rd
MH 11,11a, Extra 60x2
Epoxy Kit + Grout Kit + 
Extra Pro Rings
10:00 am</t>
    </r>
  </si>
  <si>
    <r>
      <t xml:space="preserve">
(BBQ) Harvest at Limoneira
SSMH 503,504,505
8:00 am
</t>
    </r>
    <r>
      <rPr>
        <sz val="10"/>
        <color rgb="FF8E7CC3"/>
        <rFont val="Arial"/>
        <family val="2"/>
      </rPr>
      <t>(BCD) Foster City
MH 29-14, 29-15, 02-09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>12:30 pm</t>
    </r>
  </si>
  <si>
    <t>To Texas
72TA Mold, 9 Augers, 2 pallets gaskets
9:00 am</t>
  </si>
  <si>
    <t>(BCH) Rockwall MH</t>
  </si>
  <si>
    <t>(BCE) SOUTHLAND RV MH
(pickup)</t>
  </si>
  <si>
    <t>(BCM) Manatee County MH</t>
  </si>
  <si>
    <r>
      <t>(BAS) HDWD AREA 7
PM02-01,02,03,04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(BBK) 24TH DRIVE SHOW LOW
MH 13,14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9:00 am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(BBP) Signal Butte
MH07,08
+ Extra 6' + Extra 3'
+Mastic for BBU +
Extra Box Mastic for BBU
11:00 am</t>
    </r>
    <r>
      <rPr>
        <sz val="10"/>
        <color rgb="FFFFFFFF"/>
        <rFont val="Arial"/>
        <family val="2"/>
      </rPr>
      <t xml:space="preserve">
</t>
    </r>
  </si>
  <si>
    <t xml:space="preserve">
</t>
  </si>
  <si>
    <r>
      <t xml:space="preserve">
</t>
    </r>
    <r>
      <rPr>
        <sz val="10"/>
        <color rgb="FFFF9900"/>
        <rFont val="Arial"/>
        <family val="2"/>
      </rPr>
      <t xml:space="preserve">(BAS) HDWD AREA 7
KB02-01,02; PS03-01,02,03
</t>
    </r>
    <r>
      <rPr>
        <sz val="10"/>
        <color rgb="FFFFFFFF"/>
        <rFont val="Arial"/>
        <family val="2"/>
      </rPr>
      <t xml:space="preserve">Western States
3" GR &amp; 6" GR
Mesa Park &amp; Town Center
</t>
    </r>
    <r>
      <rPr>
        <sz val="10"/>
        <color rgb="FF4A86E8"/>
        <rFont val="Arial"/>
        <family val="2"/>
      </rPr>
      <t>(AZW) Payson City
SSMH 10,09
8:30 am
(BBR) Tempe Sewer Improvements
MH 105, 106 + Extra Pro Rings
4 Grout Kits
1:00 pm
(BBP) Signal Butte
MH 05, 06 + Extra c0530-000
Remakes
SAME TRUCK AS TEMPE
(BBU)
5 GROUT KITS
SAME TRUCK AS TEMPE</t>
    </r>
  </si>
  <si>
    <r>
      <t>(BBQ) Harvest at Limoneira
SSMH 506,508A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
(BBQ) Harvest at Limoneira
SSMH 507,508 + Extra 2'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(BBY) INSPIRADA
SSMH 15,19</t>
    </r>
    <r>
      <rPr>
        <sz val="10"/>
        <color rgb="FFFFFFFF"/>
        <rFont val="Arial"/>
        <family val="2"/>
      </rPr>
      <t xml:space="preserve">
</t>
    </r>
  </si>
  <si>
    <t>(BAS) HDWD AREA 7
PM02-05,06,07</t>
  </si>
  <si>
    <t xml:space="preserve">(BCG) PLANO Downtown WW STA 03+72.51, 04+54.07, 07+56.98, 08+18.82
</t>
  </si>
  <si>
    <r>
      <t>(BCP) Terri Lane Pump Station
(BBT) FAYETVILLE 24" MAIN MH1</t>
    </r>
    <r>
      <rPr>
        <sz val="10"/>
        <color rgb="FFEFEFEF"/>
        <rFont val="Arial"/>
        <family val="2"/>
      </rPr>
      <t xml:space="preserve">
</t>
    </r>
    <r>
      <rPr>
        <sz val="10"/>
        <color rgb="FFFF9900"/>
        <rFont val="Arial"/>
        <family val="2"/>
      </rPr>
      <t>(AXL) Sycamore Creek 50536-C</t>
    </r>
  </si>
  <si>
    <r>
      <t xml:space="preserve">(BAS) HDWD AREA 7
PO03-01; PP04-01; PP05-01; 
PQ02-01; PM02-08
</t>
    </r>
    <r>
      <rPr>
        <sz val="10"/>
        <color rgb="FF4A86E8"/>
        <rFont val="Arial"/>
        <family val="2"/>
      </rPr>
      <t xml:space="preserve">
</t>
    </r>
    <r>
      <rPr>
        <sz val="10"/>
        <color rgb="FF8E7CC3"/>
        <rFont val="Arial"/>
        <family val="2"/>
      </rPr>
      <t>(BBK) 24TH DRIVE SHOW LOW
MH 15,16
Before Noon</t>
    </r>
  </si>
  <si>
    <r>
      <t xml:space="preserve">
(AYV) Sewer Rehab Group N 
MH33,32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(BCJ) Mayflower Lakeside
RTR- 02,03
</t>
    </r>
  </si>
  <si>
    <r>
      <t>(BAS) HDWD AREA 7
PM02-09,10; KA01-08 NO BASE,10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(BCL) ADVS OFFSITE 
MH 1
Yuma, AZ 11:00 am
</t>
    </r>
    <r>
      <rPr>
        <sz val="10"/>
        <color rgb="FF6AA84F"/>
        <rFont val="Arial"/>
        <family val="2"/>
      </rPr>
      <t>(BCF) Fullerton Replacement
Manhole 2
Pomona, CA 10:00 am</t>
    </r>
    <r>
      <rPr>
        <sz val="10"/>
        <color rgb="FFFFFFFF"/>
        <rFont val="Arial"/>
        <family val="2"/>
      </rPr>
      <t xml:space="preserve">
</t>
    </r>
  </si>
  <si>
    <r>
      <t xml:space="preserve">(BBY) INSPIRADA
SSMH 29
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(BBQ) Harvest at Limoneira
SSMH 519, 519A
Santa Paula, CA 9:00 am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(BCU) Springville Sewer Rehab
01919, 01926, 01934, 01942
Springville, UT 10:00 am</t>
    </r>
    <r>
      <rPr>
        <sz val="10"/>
        <color rgb="FF38761D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(BCR) Valley Metro Tempe
60" Rehab
Phoenix, AZ 11:00 am
</t>
    </r>
    <r>
      <rPr>
        <sz val="10"/>
        <color rgb="FFFFFFFF"/>
        <rFont val="Arial"/>
        <family val="2"/>
      </rPr>
      <t xml:space="preserve">
</t>
    </r>
  </si>
  <si>
    <t>(BAS) HDWD AREA 7
KA01-09, PM02-11, PK05-01 NO BASE
(4) 5' DOG BONE RISERS
+2 8" PVC Boots
Yucca Valley, CA</t>
  </si>
  <si>
    <t>(BAS) HDWD AREA 7
KA01-11,12,13
Yucca Valley, CA</t>
  </si>
  <si>
    <r>
      <t>(BBH) Rock Creek Int B-03, B-04</t>
    </r>
    <r>
      <rPr>
        <sz val="10"/>
        <color rgb="FFEFEFEF"/>
        <rFont val="Arial"/>
        <family val="2"/>
      </rPr>
      <t xml:space="preserve">
</t>
    </r>
    <r>
      <rPr>
        <sz val="10"/>
        <color rgb="FF00FFFF"/>
        <rFont val="Arial"/>
        <family val="2"/>
      </rPr>
      <t>(BBH) Rock Creek Int B-05, B-06</t>
    </r>
    <r>
      <rPr>
        <sz val="10"/>
        <color rgb="FFEFEFEF"/>
        <rFont val="Arial"/>
        <family val="2"/>
      </rPr>
      <t xml:space="preserve">
</t>
    </r>
    <r>
      <rPr>
        <sz val="10"/>
        <color rgb="FFC27BA0"/>
        <rFont val="Arial"/>
        <family val="2"/>
      </rPr>
      <t xml:space="preserve">(BCK) 10800 Key Haven Junction
[1st Truck]
</t>
    </r>
  </si>
  <si>
    <r>
      <t xml:space="preserve">(BCK) 10800 Key Haven Junction [2nd Truck]
</t>
    </r>
    <r>
      <rPr>
        <sz val="10"/>
        <color rgb="FFFF00FF"/>
        <rFont val="Arial"/>
        <family val="2"/>
      </rPr>
      <t xml:space="preserve">(BBH) Rock Creek Int B-07, B-09
</t>
    </r>
    <r>
      <rPr>
        <sz val="10"/>
        <color rgb="FF00FFFF"/>
        <rFont val="Arial"/>
        <family val="2"/>
      </rPr>
      <t>(BBH) Rock Creek Int B-10, B-011</t>
    </r>
  </si>
  <si>
    <r>
      <t xml:space="preserve">(BAS) HDWD AREA 7
PK05-02,03, PW01-08, PW01-08A
Yucca Valley, CA
</t>
    </r>
    <r>
      <rPr>
        <sz val="10"/>
        <color rgb="FF4A86E8"/>
        <rFont val="Arial"/>
        <family val="2"/>
      </rPr>
      <t>(AZW) Payson City
SSMH 08,07
Extra 4ft Riser
Payson, UT 8:00 am</t>
    </r>
    <r>
      <rPr>
        <sz val="10"/>
        <color rgb="FFFF9900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(BCO) Upper Timber
(3) 72x18" NB, (4) 72x12" NB
Flower Mound, TX
9:00 am
</t>
    </r>
    <r>
      <rPr>
        <sz val="10"/>
        <color rgb="FFFF9900"/>
        <rFont val="Arial"/>
        <family val="2"/>
      </rPr>
      <t xml:space="preserve">
</t>
    </r>
    <r>
      <rPr>
        <sz val="10"/>
        <color rgb="FFB45F06"/>
        <rFont val="Arial"/>
        <family val="2"/>
      </rPr>
      <t>(BCS) SkyRidge Development
RD Loop 10A,13, 18
Heber City, UT
10:00 am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
(BBK) 24th Drive Show Low
MH 2 Remake
Customer Pick Up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
</t>
    </r>
  </si>
  <si>
    <t>(AXQ) Amarillo NW INT STA2+03.63, STA 2+65.84</t>
  </si>
  <si>
    <r>
      <t>(BCW) River Hollow
SSMH 3-1
St. George,UT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(BCJ) Mayflower Lakeside
MFL-03,06,10
Heber City, UT</t>
    </r>
    <r>
      <rPr>
        <sz val="10"/>
        <color rgb="FFFFFFFF"/>
        <rFont val="Arial"/>
        <family val="2"/>
      </rPr>
      <t xml:space="preserve">
</t>
    </r>
    <r>
      <rPr>
        <sz val="10"/>
        <color rgb="FFE06666"/>
        <rFont val="Arial"/>
        <family val="2"/>
      </rPr>
      <t>(BCX) Mountain View
MH 01
Fort Mojave, AZ</t>
    </r>
  </si>
  <si>
    <r>
      <t>(BAS) HDWD AREA 7
PI13-01,02,03
Yucca Valley, CA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(AZW) Payson City
SSMH 06,05
Payson, UT 8:00 am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(BBR) Tempe Sewer Improvements
MH 108, 109
Tempe, AZ
1:00 pm</t>
    </r>
  </si>
  <si>
    <r>
      <t xml:space="preserve">
(BBY) INSPIRADA
SSMH 34
Las Vegas, NV
</t>
    </r>
    <r>
      <rPr>
        <sz val="10"/>
        <color rgb="FF4A86E8"/>
        <rFont val="Arial"/>
        <family val="2"/>
      </rPr>
      <t xml:space="preserve">(BBQ) Harvest at Limoneira
SSMH 520,521,522
Santa Paula, CA
</t>
    </r>
    <r>
      <rPr>
        <sz val="10"/>
        <color rgb="FF6AA84F"/>
        <rFont val="Arial"/>
        <family val="2"/>
      </rPr>
      <t>(BAS) HDWD AREA 7
KA01-06,07
Yucca Valley, CA 11:00 am
Flyash In</t>
    </r>
  </si>
  <si>
    <r>
      <t>(BCG) PLANO Downtown WW STA 09+45.98, 09+81.07, 11+00.00, 12+60.18</t>
    </r>
    <r>
      <rPr>
        <sz val="10"/>
        <color rgb="FFD9D9D9"/>
        <rFont val="Arial"/>
        <family val="2"/>
      </rPr>
      <t xml:space="preserve">
</t>
    </r>
  </si>
  <si>
    <t>(BCM) Manatee County S0624-1000
(BCT) Cherokee St</t>
  </si>
  <si>
    <r>
      <t xml:space="preserve">(BAS) HDWD AREA 7
KA01-16
Yucca Valley, CA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(BBX) Grand Forks
(3) 84" x 80" (1) 84" x 66"
Grand Forks, ND
1:00 PM
</t>
    </r>
    <r>
      <rPr>
        <sz val="10"/>
        <color rgb="FFEA9999"/>
        <rFont val="Arial"/>
        <family val="2"/>
      </rPr>
      <t>(BCX) Mountain View
MH 4
Fort Mojave, AZ</t>
    </r>
    <r>
      <rPr>
        <sz val="10"/>
        <color rgb="FFFFFFFF"/>
        <rFont val="Arial"/>
        <family val="2"/>
      </rPr>
      <t xml:space="preserve">
</t>
    </r>
    <r>
      <rPr>
        <sz val="10"/>
        <color rgb="FFEA9999"/>
        <rFont val="Arial"/>
        <family val="2"/>
      </rPr>
      <t xml:space="preserve">
</t>
    </r>
    <r>
      <rPr>
        <sz val="10"/>
        <color rgb="FFFFFF00"/>
        <rFont val="Arial"/>
        <family val="2"/>
      </rPr>
      <t>(AYJ) Buena Outfall
(1) s0612-0001 (5) s0624-0000
(1) 3" (1) 4" (1) 6" Grade Rings
Carlsbad, CA @ 11:30 am</t>
    </r>
  </si>
  <si>
    <r>
      <t>(AYV) Sewer Rehab Group N MH31,30
Las Vegas, NV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(BBV) CCWRD SW Interceptor
17718011
Las Vegas, NV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 xml:space="preserve">
(BDA) RANCHO LEGANTE
MH 01
Queen Creek, AZ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(BCO) Upper Timber
(4) 72x18" NB, (4) 72x12" NB
Flower Mound, TX</t>
    </r>
  </si>
  <si>
    <r>
      <t>(BAS) HDWD AREA 7
PM02-12,13,14
Yucca Valley, CA</t>
    </r>
    <r>
      <rPr>
        <sz val="10"/>
        <color rgb="FFFFFFFF"/>
        <rFont val="Arial"/>
        <family val="2"/>
      </rPr>
      <t xml:space="preserve">
</t>
    </r>
    <r>
      <rPr>
        <sz val="10"/>
        <color rgb="FF674EA7"/>
        <rFont val="Arial"/>
        <family val="2"/>
      </rPr>
      <t xml:space="preserve">
</t>
    </r>
    <r>
      <rPr>
        <sz val="10"/>
        <color rgb="FF8E7CC3"/>
        <rFont val="Arial"/>
        <family val="2"/>
      </rPr>
      <t xml:space="preserve">(BBR) Tempe Sewer Improvements
MH 101A
Tempe, AZ 12:30 pm
</t>
    </r>
  </si>
  <si>
    <t xml:space="preserve">(BBV) CCWRD SW Interceptor
17718012
Las Vegas, NV
</t>
  </si>
  <si>
    <r>
      <t xml:space="preserve">(BAS) HDWD AREA 7
KA01-15; 
</t>
    </r>
    <r>
      <rPr>
        <sz val="10"/>
        <color rgb="FFF9CB9C"/>
        <rFont val="Arial"/>
        <family val="2"/>
      </rPr>
      <t>NO BASES
(KA01-14, PM02-15, KA04-01)</t>
    </r>
    <r>
      <rPr>
        <sz val="10"/>
        <color rgb="FFFF9900"/>
        <rFont val="Arial"/>
        <family val="2"/>
      </rPr>
      <t xml:space="preserve">
Yucca Valley, CA
</t>
    </r>
    <r>
      <rPr>
        <sz val="10"/>
        <color rgb="FF8E7CC3"/>
        <rFont val="Arial"/>
        <family val="2"/>
      </rPr>
      <t xml:space="preserve">(BDH) Holmes Road
Risers for 20' JB
Houston, TX
10:00 am </t>
    </r>
  </si>
  <si>
    <t>(BCG) Plano (2) C0532
(BCZ) Arlington Johnson Creek Add
s0624, s0672</t>
  </si>
  <si>
    <t>(BCo) Upper Timbercreek 04+60.55, 09+50.00</t>
  </si>
  <si>
    <t>(BCN) Walnut Street MH-02,03,09</t>
  </si>
  <si>
    <t>(AUK) ENO RIVER MH29
(BCi) Naples MH's 1134 Galleon, 2658 Gordon, 3131 Ft. Charles, 3655 Rum Row</t>
  </si>
  <si>
    <r>
      <t xml:space="preserve">
</t>
    </r>
    <r>
      <rPr>
        <sz val="10"/>
        <color rgb="FF4A86E8"/>
        <rFont val="Arial"/>
        <family val="2"/>
      </rPr>
      <t xml:space="preserve">
(BBL) Goleta Phelps Road
MH 012,101
Goleta, CA
8:00 am
(BBL) Goleta Phelps Road
MH 011,100
Goleta, CA
9:00 am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</si>
  <si>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
(BDG) Phoenix Rehab
MH 31-19-304A; MH 31-20-327A
Phoenix, AZ</t>
    </r>
    <r>
      <rPr>
        <sz val="10"/>
        <color rgb="FFFF9900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8:00 am
</t>
    </r>
    <r>
      <rPr>
        <sz val="10"/>
        <color rgb="FF6AA84F"/>
        <rFont val="Arial"/>
        <family val="2"/>
      </rPr>
      <t xml:space="preserve">To Texas
60x30 CC Cone Mold
(2) 60x36 cones; Augers;
Indian Molds
Sulphur Springs, TX 10:00 am
</t>
    </r>
    <r>
      <rPr>
        <sz val="10"/>
        <color rgb="FF8E7CC3"/>
        <rFont val="Arial"/>
        <family val="2"/>
      </rPr>
      <t>(STK) Borderland
60x36 cone
Marana,AZ 8:00 am</t>
    </r>
  </si>
  <si>
    <r>
      <t xml:space="preserve">
</t>
    </r>
    <r>
      <rPr>
        <sz val="10"/>
        <color rgb="FF6AA84F"/>
        <rFont val="Arial"/>
        <family val="2"/>
      </rPr>
      <t>(BAS) HDWD Area 7
KA01-14 Base Only
12:00 pm</t>
    </r>
  </si>
  <si>
    <t xml:space="preserve">(BBY) INSPIRADA
SSMH 35
Las Vegas, NV
</t>
  </si>
  <si>
    <t>(BCo) Upper Timbercreek 12+61.19</t>
  </si>
  <si>
    <r>
      <t xml:space="preserve">
</t>
    </r>
    <r>
      <rPr>
        <sz val="10"/>
        <color rgb="FF6AA84F"/>
        <rFont val="Arial"/>
        <family val="2"/>
      </rPr>
      <t xml:space="preserve">
(BDJ) CANTERBURY COURT 
SSMH #6
Clearfield, UT 10:00 am
</t>
    </r>
    <r>
      <rPr>
        <sz val="10"/>
        <color rgb="FFFFFF00"/>
        <rFont val="Arial"/>
        <family val="2"/>
      </rPr>
      <t>(BDG) Phoenix Rehab
MH 31-20-204A, 217 + Grout Kit
Phoenix, AZ 11:00 am</t>
    </r>
    <r>
      <rPr>
        <sz val="10"/>
        <color rgb="FFFF9900"/>
        <rFont val="Arial"/>
        <family val="2"/>
      </rPr>
      <t xml:space="preserve">
(BAS) HDWD AREA 7
KA01-17 + 48x24R
Yucca Valley, CA</t>
    </r>
  </si>
  <si>
    <t>NEVADA DAY
NO WORK</t>
  </si>
  <si>
    <r>
      <t xml:space="preserve">
</t>
    </r>
    <r>
      <rPr>
        <sz val="10"/>
        <color rgb="FF6AA84F"/>
        <rFont val="Arial"/>
        <family val="2"/>
      </rPr>
      <t xml:space="preserve">(AYJ) Buena Outfall
(2) 72x48 (6) 6" GR 
(6) Boxes Mastic
Carlsbad, CA
1:00 pm
</t>
    </r>
    <r>
      <rPr>
        <sz val="10"/>
        <color rgb="FFFF9900"/>
        <rFont val="Arial"/>
        <family val="2"/>
      </rPr>
      <t>(BCW) s0612-0000, 30x6" pro-ring
30"x1" pro-ring, 2 rolls mastic</t>
    </r>
  </si>
  <si>
    <r>
      <t>(BDC) REEDSBURG OMEGA
MH 1,2,3,4
Reedsburg, WI
11:00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(BDF) San Tan Flat Sewer
MH 3,4
Queen Creek, AZ
</t>
    </r>
    <r>
      <rPr>
        <sz val="10"/>
        <color rgb="FF4A86E8"/>
        <rFont val="Arial"/>
        <family val="2"/>
      </rPr>
      <t>(AZW) Payson City
SSMH 04 (1) 72x60 (2) 72 x 2 ft
(2) 72x 1 ft
Payson, UT 9:00 am</t>
    </r>
  </si>
  <si>
    <r>
      <t>(AVZ) Stevens Creek S0512-1000</t>
    </r>
    <r>
      <rPr>
        <sz val="10"/>
        <color rgb="FFFFFFFF"/>
        <rFont val="Arial"/>
        <family val="2"/>
      </rPr>
      <t xml:space="preserve">
</t>
    </r>
    <r>
      <rPr>
        <sz val="10"/>
        <color rgb="FFD5A6BD"/>
        <rFont val="Arial"/>
        <family val="2"/>
      </rPr>
      <t>(BAX)BERNITA FORCE MAIN</t>
    </r>
  </si>
  <si>
    <t>(BAN) EDMOND SANTA FE CREEK INTERCEPTOR STA 39+37.74, 43+58.98, S0624, S0612
(BDD) CCWA Frontage Rd
Sewer Relocation
MH 2, MH 4</t>
  </si>
  <si>
    <r>
      <t xml:space="preserve">(BCY) HEALTH PARK ST CLOUD
(BAX) BERNITA FORCE MAIN Lid
</t>
    </r>
    <r>
      <rPr>
        <sz val="10"/>
        <color rgb="FF93C47D"/>
        <rFont val="Arial"/>
        <family val="2"/>
      </rPr>
      <t xml:space="preserve">(BCV) CFPUA Wilmington
</t>
    </r>
    <r>
      <rPr>
        <sz val="10"/>
        <color rgb="FFFF00FF"/>
        <rFont val="Arial"/>
        <family val="2"/>
      </rPr>
      <t>(BDD) CCWA Frontage Rd Sewer Relocation MH 3, MH 5 , MH 1</t>
    </r>
  </si>
  <si>
    <r>
      <t>(BDG) Phoenix Rehab
MH 31-19-201A, 204A, 211A
Phoenix, AZ 10:00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(BBY) INSPIRADA
SSMH 36,37
Las Vegas, NV
</t>
    </r>
    <r>
      <rPr>
        <sz val="10"/>
        <color rgb="FF6AA84F"/>
        <rFont val="Arial"/>
        <family val="2"/>
      </rPr>
      <t xml:space="preserve">
(BAS) HDWD Area 7
10 Boxes Mastic
Yucca Valley, CA</t>
    </r>
  </si>
  <si>
    <r>
      <t xml:space="preserve">
(BDJ) CANTERBURY COURT 
SSMH #6 Remake
Clearfield, UT 
</t>
    </r>
    <r>
      <rPr>
        <sz val="10"/>
        <color rgb="FF6AA84F"/>
        <rFont val="Arial"/>
        <family val="2"/>
      </rPr>
      <t>(BBQ) Harvest at Limoneira
60"x24" Riser</t>
    </r>
  </si>
  <si>
    <r>
      <t xml:space="preserve">(AZW) Payson City
SSMH 03,02,01
Payson, UT 9:00 am
</t>
    </r>
    <r>
      <rPr>
        <sz val="10"/>
        <color rgb="FFFF9900"/>
        <rFont val="Arial"/>
        <family val="2"/>
      </rPr>
      <t>(BBV) CCWRD SW Interceptor
17718015,17
Las Vegas, NV</t>
    </r>
  </si>
  <si>
    <r>
      <t xml:space="preserve">
</t>
    </r>
    <r>
      <rPr>
        <sz val="10"/>
        <color rgb="FFFF9900"/>
        <rFont val="Arial"/>
        <family val="2"/>
      </rPr>
      <t xml:space="preserve">
(BDB) Avilla Gateway Lift Station
Lift Station
Phoenix, AZ
</t>
    </r>
    <r>
      <rPr>
        <sz val="10"/>
        <color rgb="FFFFFF00"/>
        <rFont val="Arial"/>
        <family val="2"/>
      </rPr>
      <t xml:space="preserve">
(BBP) Signal Butte
MH09,10
Queen Creek, AZ 11:00 am</t>
    </r>
  </si>
  <si>
    <r>
      <t xml:space="preserve">
</t>
    </r>
    <r>
      <rPr>
        <sz val="10"/>
        <color rgb="FFFF9900"/>
        <rFont val="Arial"/>
        <family val="2"/>
      </rPr>
      <t xml:space="preserve">(BBY) INSPIRADA
SSMH 17,30
Las Vegas, NV
</t>
    </r>
  </si>
  <si>
    <r>
      <t xml:space="preserve">(BCo) Upper Timbercreek 16+86.66, 17+75.11
</t>
    </r>
    <r>
      <rPr>
        <sz val="10"/>
        <color rgb="FFFF00FF"/>
        <rFont val="Arial"/>
        <family val="2"/>
      </rPr>
      <t>(BBH) ROCK CREEK INTERCEPTOR MH B-12, B-13A</t>
    </r>
  </si>
  <si>
    <t>(BBH) ROCK CREEK INTERCEPTOR MH B-14, B-15</t>
  </si>
  <si>
    <r>
      <t>(BCB) RIOLO VINEYARDS SEWER Lift Station
(BBW) East Area1 Wet Well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(BBH) ROCK CREEK INTERCEPTOR MH B-16, B-16A</t>
    </r>
  </si>
  <si>
    <t>(BBH) ROCK CREEK INTERCEPTOR Bases MH B-21A, B-21B, B-21C, B-21D</t>
  </si>
  <si>
    <r>
      <t xml:space="preserve">(BCB) Riolo Vineyards
Influent MH
Roseville, CA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(BDF) San Tan Flat Sewer
MH 1,2
Queen Creek, AZ</t>
    </r>
  </si>
  <si>
    <t>(AUL) Spur Crossing
c0530-000
Queen Creek, AZ 7:00 am</t>
  </si>
  <si>
    <r>
      <t xml:space="preserve">
</t>
    </r>
    <r>
      <rPr>
        <sz val="10"/>
        <color rgb="FFFF9900"/>
        <rFont val="Arial"/>
        <family val="2"/>
      </rPr>
      <t>(BBV) CCWRD SW Interceptor
17718018 ,33
Las Vegas, NV</t>
    </r>
    <r>
      <rPr>
        <sz val="10"/>
        <color rgb="FFFFFFFF"/>
        <rFont val="Arial"/>
        <family val="2"/>
      </rPr>
      <t xml:space="preserve">
</t>
    </r>
  </si>
  <si>
    <t>(BDL) Airport Trunk Main 
MH 7,6 
Prescott, AZ</t>
  </si>
  <si>
    <t xml:space="preserve">(AXL) Sycamore Creek Replacement Base STA 0+11.77, 50330-TL(Base &amp;TL)
</t>
  </si>
  <si>
    <t>(BDI) Lakeland MH's MH1, MH2, MH3 (Swivel Plates)</t>
  </si>
  <si>
    <t>(BBH) ROCK CREEK INTERCEPTOR MH A-17 Lid, B-19, L0624-20000</t>
  </si>
  <si>
    <t>(BBH) ROCK CREEK INTERCEPTOR MH B-18, B-20, (2)L0624-20000</t>
  </si>
  <si>
    <r>
      <t xml:space="preserve">
</t>
    </r>
    <r>
      <rPr>
        <sz val="10"/>
        <color rgb="FF6AA84F"/>
        <rFont val="Arial"/>
        <family val="2"/>
      </rPr>
      <t xml:space="preserve">
(BDM) Santa Paula FM
MH 8
Santa Paula, CA</t>
    </r>
  </si>
  <si>
    <t xml:space="preserve">
(BDZ) PALMER RANCH
SSMH 01,02,03
North Las Vegas, NV
</t>
  </si>
  <si>
    <t>(BDL) Airport Trunk Main
MH 5,4
Prescott, AZ</t>
  </si>
  <si>
    <t>(BCo) Upper Timbercreek 22+46.51, 25+63.91
(AXL) Sycamore Creek Qty:5 PEPOXY</t>
  </si>
  <si>
    <t>(BDH) Deliver-S0612-1000, Return-S0672-1000</t>
  </si>
  <si>
    <t>(BAN) Edmond Santa Fe Creek 44+77.21</t>
  </si>
  <si>
    <r>
      <t>(BDS) The Isabelle Austin WWMH</t>
    </r>
    <r>
      <rPr>
        <sz val="10"/>
        <color rgb="FFFF9900"/>
        <rFont val="Arial"/>
        <family val="2"/>
      </rPr>
      <t xml:space="preserve">
(BCo) Upper Timbercreek 27+79.47
</t>
    </r>
    <r>
      <rPr>
        <sz val="10"/>
        <color rgb="FF93C47D"/>
        <rFont val="Arial"/>
        <family val="2"/>
      </rPr>
      <t>(BAN) Edmond Santa Fe Creek 48+25.12</t>
    </r>
  </si>
  <si>
    <t>(BCo) Upper Timbercreek 36+47.33, 39+01.12, 44+77.42</t>
  </si>
  <si>
    <r>
      <t xml:space="preserve">
</t>
    </r>
    <r>
      <rPr>
        <sz val="10"/>
        <color rgb="FF000000"/>
        <rFont val="Arial"/>
        <family val="2"/>
      </rPr>
      <t>TURKEY DAY</t>
    </r>
  </si>
  <si>
    <t>SHOP TIL YOU DROP</t>
  </si>
  <si>
    <t>THANKSGIVING DAY</t>
  </si>
  <si>
    <t xml:space="preserve">(BCo) Upper Timbercreek 33+24.42, 49+
</t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</si>
  <si>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(BDR) Quartzsite WWTP
WET WELL
Quartzsite, AZ 1:00 pm</t>
    </r>
  </si>
  <si>
    <r>
      <t xml:space="preserve">(BBV) CCWRD SW Interceptor
17718019,20
Las Vegas, NV
</t>
    </r>
    <r>
      <rPr>
        <sz val="10"/>
        <color rgb="FF4A86E8"/>
        <rFont val="Arial"/>
        <family val="2"/>
      </rPr>
      <t>(BDT) Banbury Meadows
CHL 005,006,008 
Nampa Idaho 10:00 am</t>
    </r>
  </si>
  <si>
    <r>
      <t xml:space="preserve">
</t>
    </r>
    <r>
      <rPr>
        <sz val="10"/>
        <color rgb="FFFF00FF"/>
        <rFont val="Arial"/>
        <family val="2"/>
      </rPr>
      <t>(BDX) North Sewer Line Project
MH 1,2,3
Moab, UT 1:30 pm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Flyash
Glendale, AZ</t>
    </r>
  </si>
  <si>
    <t xml:space="preserve">
(BDL) Airport Trunk Main
MH 3, Extra s0672-0000
Prescott, AZ</t>
  </si>
  <si>
    <t>(BBH) ROCK CREEK INTERCEPTOR MH B-21, (1)S0672-1000</t>
  </si>
  <si>
    <t>(BDQ) Arlington SS LS Feather Beach MH</t>
  </si>
  <si>
    <r>
      <t xml:space="preserve">(AXZ) FireRock
L0530-00000 Return L0524-00000
St George, UT
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 xml:space="preserve">(BDR) Quartzsite WWTP
LIFT STATION 
Quartzsite, AZ 1:00 pm
</t>
    </r>
  </si>
  <si>
    <r>
      <t xml:space="preserve">
</t>
    </r>
    <r>
      <rPr>
        <sz val="10"/>
        <color rgb="FFFF9900"/>
        <rFont val="Arial"/>
        <family val="2"/>
      </rPr>
      <t>(BEC) La Vida Apartments
MH 01,02,03,04,09
Washington, UT</t>
    </r>
  </si>
  <si>
    <t xml:space="preserve">
(BDL) Airport Trunk Main
MH 2, MH 1
Prescott, AZ</t>
  </si>
  <si>
    <r>
      <t>(BDK) GREEN OAKS SS Spreader Bar, MH-05, MH-06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(BDW) Lower Accokeek GS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(BCo) Upper Timbercreek 46+50.05, (2)S0672-1000</t>
    </r>
  </si>
  <si>
    <t>(BDK) GREEN OAKS SS MH-02, MH-03, MH-04, MH-0+66.96</t>
  </si>
  <si>
    <t>RECOVER FROM THANKSGIVING DAY</t>
  </si>
  <si>
    <r>
      <t xml:space="preserve">
</t>
    </r>
    <r>
      <rPr>
        <sz val="10"/>
        <color rgb="FF6AA84F"/>
        <rFont val="Arial"/>
        <family val="2"/>
      </rPr>
      <t>(BAS) HDWD
10 EPOXY KITS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(BDU) BENCH LAKE
MH 49, 50
Hurricane, UT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(AYJ) BUENA OUTFALL
MH 16,17,18,19
Carlsbad, CA 1:00 pm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(BDN) SR202L Pecos
MH 101,102
Phoenix, AZ</t>
    </r>
    <r>
      <rPr>
        <sz val="10"/>
        <color rgb="FFFFFFFF"/>
        <rFont val="Arial"/>
        <family val="2"/>
      </rPr>
      <t xml:space="preserve">
</t>
    </r>
  </si>
  <si>
    <r>
      <t xml:space="preserve">(BBV) CCWRD INTERCEPTOR
17718021, 17718022
Las Vegas, NV
</t>
    </r>
    <r>
      <rPr>
        <sz val="10"/>
        <color rgb="FFFF00FF"/>
        <rFont val="Arial"/>
        <family val="2"/>
      </rPr>
      <t xml:space="preserve">(BDX) NORTH SEWER
MH 4,5,6,7
Moab, UT 12:00 pm
To Texas
6 Sets Augers and 24" GRs
Sulphur Springs, TX 12:00 pm
</t>
    </r>
    <r>
      <rPr>
        <sz val="10"/>
        <color rgb="FFFF9900"/>
        <rFont val="Arial"/>
        <family val="2"/>
      </rPr>
      <t xml:space="preserve">
</t>
    </r>
  </si>
  <si>
    <r>
      <t xml:space="preserve">
(BDU) BENCH LAKE
MH 50B
Hurricane, UT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(BBL) GWSD Trunk
MH 008, 009
Goleta, CA 7:30 am
(BBL) GWSD Trunk
MH 010
Goleta, CA 8:30 am
(BDN) SR202L Pecos
MH 103,104,105
Phoenix, AZ 9:30 am</t>
    </r>
  </si>
  <si>
    <r>
      <t>(BEB) Orangewood
MH 1; Pro Rings
Queen Creek, AZ 7:30 am
(BDV) Barney Farms
QC-01,02
Queen Creek, AZ 8:30 am
(BDL) Airport Main
10 Grout Kits
Prescott, AZ Same Truck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>(AYV) Group N
4 Grout Kits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(BBQ) Harvest at Limoneira
s0572-0000
Santa Paula, CA</t>
    </r>
  </si>
  <si>
    <r>
      <t>(BDO) Mt Pleasant
STA 0+00.00 (84), 0+17.36 (60)
Mt Pleasant, SC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(BEC) La Vida Apartments
MH 07,08,10,11,12 + 2 Epoxy Kits
Washington, UT</t>
    </r>
  </si>
  <si>
    <r>
      <t xml:space="preserve">(BDQ) Arlington SS LS Tiffany Park MH 1, &amp; MH 2
</t>
    </r>
    <r>
      <rPr>
        <sz val="10"/>
        <color rgb="FFFF00FF"/>
        <rFont val="Arial"/>
        <family val="2"/>
      </rPr>
      <t xml:space="preserve">
(BBH) Rock Creek Interceptor MH21E, (3) Lids w/vents, Grout Kits</t>
    </r>
  </si>
  <si>
    <t>(BEA) Kernan Blvd. &amp; Coastal Cove Dr.</t>
  </si>
  <si>
    <r>
      <t xml:space="preserve">
(BAS) HDWD
Pallet Pro Rings
Yucca Valley, CA
</t>
    </r>
    <r>
      <rPr>
        <sz val="10"/>
        <color rgb="FFFF00FF"/>
        <rFont val="Arial"/>
        <family val="2"/>
      </rPr>
      <t xml:space="preserve">(AZW) PAYSON 
L0630-00000, S0612-0000, AND 
A-1180 Sewer R&amp;C
Payson City, UT 10:00 am
</t>
    </r>
    <r>
      <rPr>
        <sz val="10"/>
        <color rgb="FF000000"/>
        <rFont val="Arial"/>
        <family val="2"/>
      </rPr>
      <t>(BDZ) Palmer Ranch
L0612-0001, 2 ea PEPOXY</t>
    </r>
    <r>
      <rPr>
        <sz val="10"/>
        <color rgb="FFFF00FF"/>
        <rFont val="Arial"/>
        <family val="2"/>
      </rPr>
      <t xml:space="preserve">
</t>
    </r>
  </si>
  <si>
    <r>
      <t xml:space="preserve">
</t>
    </r>
    <r>
      <rPr>
        <sz val="10"/>
        <color rgb="FF6AA84F"/>
        <rFont val="Arial"/>
        <family val="2"/>
      </rPr>
      <t>(BEF) Belleza Del Desierto
MH 1,2,3,4
San Luis, AZ 10:00 am</t>
    </r>
  </si>
  <si>
    <r>
      <t xml:space="preserve">(BEH) ROSENA RANCH
MH A01, A02, A03
San Bernardino, CA 8:00 am
TexasTransfer
c0536-000 as many as can fit
Sulphur Springs, TX 12:45 pm
</t>
    </r>
    <r>
      <rPr>
        <sz val="10"/>
        <color rgb="FFFF00FF"/>
        <rFont val="Arial"/>
        <family val="2"/>
      </rPr>
      <t>FLYASH IN</t>
    </r>
  </si>
  <si>
    <r>
      <t xml:space="preserve">
</t>
    </r>
    <r>
      <rPr>
        <sz val="10"/>
        <color rgb="FFFF9900"/>
        <rFont val="Arial"/>
        <family val="2"/>
      </rPr>
      <t xml:space="preserve">(BDL) Airport Trunk Main
MH 27,26
Prescott, AZ
</t>
    </r>
    <r>
      <rPr>
        <sz val="10"/>
        <color rgb="FF4A86E8"/>
        <rFont val="Arial"/>
        <family val="2"/>
      </rPr>
      <t xml:space="preserve">(BAT) Archer Meadows
SSMH 40
San Tan Valley, AZ 10:00 am
</t>
    </r>
  </si>
  <si>
    <t>(BEC) La Vida Apartments
MH 13,14,15,16
Minus (2) c0436-000
Washington, UT</t>
  </si>
  <si>
    <r>
      <t xml:space="preserve">
</t>
    </r>
    <r>
      <rPr>
        <sz val="10"/>
        <color rgb="FFFF9900"/>
        <rFont val="Arial"/>
        <family val="2"/>
      </rPr>
      <t>(BCo) Upper Timbercreek 56+89.34, 58+30.95</t>
    </r>
  </si>
  <si>
    <t>(BAN) Edmond Santa Fe Creek Int. STA 50+69.88, 52+55.86</t>
  </si>
  <si>
    <r>
      <t>(BED) Wiregrass Subdivision MH 124-26</t>
    </r>
    <r>
      <rPr>
        <sz val="10"/>
        <color rgb="FFFF00FF"/>
        <rFont val="Arial"/>
        <family val="2"/>
      </rPr>
      <t xml:space="preserve">
(BAN) Edmond Santa Fe Creek Int. STA 55+07.60</t>
    </r>
  </si>
  <si>
    <r>
      <t>(BEI) Cary 5' MH</t>
    </r>
    <r>
      <rPr>
        <sz val="10"/>
        <color rgb="FFFF0000"/>
        <rFont val="Arial"/>
        <family val="2"/>
      </rPr>
      <t xml:space="preserve">
(BDY) Line I 01+00.00</t>
    </r>
  </si>
  <si>
    <r>
      <t>(BDX) North Sewer Line Project
MH 8,9,10
Moab, UT 11:00 am</t>
    </r>
    <r>
      <rPr>
        <sz val="10"/>
        <color rgb="FFFFFFFF"/>
        <rFont val="Arial"/>
        <family val="2"/>
      </rPr>
      <t xml:space="preserve"> 
</t>
    </r>
    <r>
      <rPr>
        <sz val="10"/>
        <color rgb="FFFF9900"/>
        <rFont val="Arial"/>
        <family val="2"/>
      </rPr>
      <t>(BEC) La Vida Apartments
(2) c0436-000
Washington, UT</t>
    </r>
    <r>
      <rPr>
        <sz val="10"/>
        <color rgb="FFFFFFFF"/>
        <rFont val="Arial"/>
        <family val="2"/>
      </rPr>
      <t xml:space="preserve">
</t>
    </r>
  </si>
  <si>
    <t>(BEE) Domtar Paper Mill MH</t>
  </si>
  <si>
    <t>(BED) Wiregrass Subdivision LS</t>
  </si>
  <si>
    <t>Merry Christmas!!</t>
  </si>
  <si>
    <t>Happy New Year!!</t>
  </si>
  <si>
    <t>(BEJ) Roanoke Pump Station</t>
  </si>
  <si>
    <r>
      <t xml:space="preserve">
(BDL) Airport Trunk Main
MH 24,23
Prescott, AZ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(BEF) Belleza Del Desierto
MH 5,6,7,8,9,10
San Luis, AZ 10:00 am
</t>
    </r>
    <r>
      <rPr>
        <sz val="10"/>
        <color rgb="FF6D9EEB"/>
        <rFont val="Arial"/>
        <family val="2"/>
      </rPr>
      <t xml:space="preserve">
(BBR) Tempe Sewer
MH 113 + 60x1 + (2) 6" PR + (2) 4" PR
Tempe, AZ 2:00 pm</t>
    </r>
  </si>
  <si>
    <t>(BEM) KICKAPOO PS
PUMP STATION
Yucca Valley, CA 10:00 am
(BEM) KICKAPOO PS
DIVERSION MANHOLE
Yucca Valley, CA 10:00 am
(BDP) EVMWD REHABS
MH 3-1, 3-2, 3-3
Lake Elsinore, CA 8:00 am
(BDP) EVMWD REHABS
MH 3-4, 3-5
Lake Elsinore, CA 8:00 am</t>
  </si>
  <si>
    <t>(BEH) ROSENA RANCH
A0, 10+00.00
San Bernardino, CA 10:00 am</t>
  </si>
  <si>
    <r>
      <t xml:space="preserve">(BEN) Galveston WCID
</t>
    </r>
    <r>
      <rPr>
        <sz val="10"/>
        <color rgb="FFFF9900"/>
        <rFont val="Arial"/>
        <family val="2"/>
      </rPr>
      <t>(BDK) GREEN OAKS SS MH-07, MH-08</t>
    </r>
  </si>
  <si>
    <t>(BBH) S0672-1000 (2), S0672-1100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</si>
</sst>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6AA84F"/>
      <name val="Arial"/>
      <family val="2"/>
    </font>
    <font>
      <sz val="10"/>
      <color rgb="FF4A86E8"/>
      <name val="Arial"/>
      <family val="2"/>
    </font>
    <font>
      <sz val="10"/>
      <color rgb="FFFF9900"/>
      <name val="Arial"/>
      <family val="2"/>
    </font>
    <font>
      <sz val="10"/>
      <color rgb="FF8E7CC3"/>
      <name val="Arial"/>
      <family val="2"/>
    </font>
    <font>
      <sz val="10"/>
      <color rgb="FFE69138"/>
      <name val="Arial"/>
      <family val="2"/>
    </font>
    <font>
      <sz val="10"/>
      <color rgb="FF7F6000"/>
      <name val="Arial"/>
      <family val="2"/>
    </font>
    <font>
      <strike/>
      <sz val="10"/>
      <color rgb="FF6AA84F"/>
      <name val="Arial"/>
      <family val="2"/>
    </font>
    <font>
      <sz val="10"/>
      <color rgb="FF93C47D"/>
      <name val="Arial"/>
      <family val="2"/>
    </font>
    <font>
      <sz val="10"/>
      <color rgb="FF3C78D8"/>
      <name val="Arial"/>
      <family val="2"/>
    </font>
    <font>
      <sz val="10"/>
      <color rgb="FFFFFF00"/>
      <name val="Roboto"/>
    </font>
    <font>
      <sz val="10"/>
      <color rgb="FF9900FF"/>
      <name val="Arial"/>
      <family val="2"/>
    </font>
    <font>
      <sz val="10"/>
      <color rgb="FFFFFF00"/>
      <name val="Arial"/>
      <family val="2"/>
    </font>
    <font>
      <sz val="10"/>
      <color rgb="FFD5A6BD"/>
      <name val="Roboto"/>
    </font>
    <font>
      <sz val="10"/>
      <color rgb="FF3D85C6"/>
      <name val="Arial"/>
      <family val="2"/>
    </font>
    <font>
      <sz val="10"/>
      <color rgb="FFD5A6BD"/>
      <name val="Arial"/>
      <family val="2"/>
    </font>
    <font>
      <sz val="10"/>
      <color rgb="FFFF0000"/>
      <name val="Arial"/>
      <family val="2"/>
    </font>
    <font>
      <sz val="10"/>
      <color rgb="FF0000FF"/>
      <name val="Roboto"/>
    </font>
    <font>
      <sz val="10"/>
      <color rgb="FFF3F3F3"/>
      <name val="Arial"/>
      <family val="2"/>
    </font>
    <font>
      <sz val="10"/>
      <color rgb="FF000000"/>
      <name val="Arial"/>
      <family val="2"/>
    </font>
    <font>
      <sz val="10"/>
      <color theme="9" tint="0.39997558519241921"/>
      <name val="Arial"/>
      <family val="2"/>
    </font>
    <font>
      <sz val="10"/>
      <color rgb="FFFF00FF"/>
      <name val="Arial"/>
      <family val="2"/>
    </font>
    <font>
      <sz val="10"/>
      <color theme="5" tint="0.39997558519241921"/>
      <name val="Arial"/>
      <family val="2"/>
    </font>
    <font>
      <sz val="10"/>
      <color rgb="FFFFF2CC"/>
      <name val="Arial"/>
      <family val="2"/>
    </font>
    <font>
      <sz val="10"/>
      <color rgb="FF00FFFF"/>
      <name val="Arial"/>
      <family val="2"/>
    </font>
    <font>
      <sz val="10"/>
      <color rgb="FFB6D7A8"/>
      <name val="Arial"/>
      <family val="2"/>
    </font>
    <font>
      <sz val="10"/>
      <color rgb="FF9A57CD"/>
      <name val="Arial"/>
      <family val="2"/>
    </font>
    <font>
      <sz val="10"/>
      <color theme="9" tint="-0.249977111117893"/>
      <name val="Arial"/>
      <family val="2"/>
    </font>
    <font>
      <sz val="10"/>
      <color theme="5"/>
      <name val="Arial"/>
      <family val="2"/>
    </font>
    <font>
      <sz val="10"/>
      <color theme="4"/>
      <name val="Arial"/>
      <family val="2"/>
    </font>
    <font>
      <sz val="10"/>
      <color rgb="FFCC3399"/>
      <name val="Arial"/>
      <family val="2"/>
    </font>
    <font>
      <sz val="10"/>
      <color rgb="FF00B0F0"/>
      <name val="Arial"/>
      <family val="2"/>
    </font>
    <font>
      <sz val="10"/>
      <color rgb="FFB7B7B7"/>
      <name val="Arial"/>
      <family val="2"/>
    </font>
    <font>
      <sz val="10"/>
      <color rgb="FF6D9EEB"/>
      <name val="Arial"/>
      <family val="2"/>
    </font>
    <font>
      <sz val="10"/>
      <color rgb="FFE06666"/>
      <name val="Arial"/>
      <family val="2"/>
    </font>
    <font>
      <b/>
      <sz val="10"/>
      <color rgb="FFFFFFFF"/>
      <name val="Arial"/>
      <family val="2"/>
    </font>
    <font>
      <sz val="10"/>
      <color rgb="FFEA9999"/>
      <name val="Arial"/>
      <family val="2"/>
    </font>
    <font>
      <sz val="10"/>
      <color rgb="FF674EA7"/>
      <name val="Arial"/>
      <family val="2"/>
    </font>
    <font>
      <sz val="10"/>
      <color rgb="FFFFFFFF"/>
      <name val="Roboto"/>
    </font>
    <font>
      <b/>
      <sz val="10"/>
      <color rgb="FF000000"/>
      <name val="Arial"/>
      <family val="2"/>
    </font>
    <font>
      <sz val="10"/>
      <color rgb="FFB45F06"/>
      <name val="Arial"/>
      <family val="2"/>
    </font>
    <font>
      <sz val="10"/>
      <color rgb="FF38761D"/>
      <name val="Arial"/>
      <family val="2"/>
    </font>
    <font>
      <sz val="10"/>
      <color rgb="FF9900FF"/>
      <name val="Roboto"/>
    </font>
    <font>
      <sz val="10"/>
      <color rgb="FFF1C232"/>
      <name val="Arial"/>
      <family val="2"/>
    </font>
    <font>
      <sz val="10"/>
      <color rgb="FFFF00FF"/>
      <name val="Roboto"/>
    </font>
    <font>
      <sz val="10"/>
      <color rgb="FFEFEFEF"/>
      <name val="Arial"/>
      <family val="2"/>
    </font>
    <font>
      <sz val="10"/>
      <color rgb="FFC27BA0"/>
      <name val="Arial"/>
      <family val="2"/>
    </font>
    <font>
      <sz val="10"/>
      <color rgb="FFD9D9D9"/>
      <name val="Arial"/>
      <family val="2"/>
    </font>
    <font>
      <sz val="10"/>
      <color rgb="FFF9CB9C"/>
      <name val="Arial"/>
      <family val="2"/>
    </font>
    <font>
      <sz val="10"/>
      <color rgb="FFF6B26B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18" borderId="2" xfId="0" applyNumberFormat="1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0" fillId="17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18" fillId="4" borderId="3" xfId="0" applyFont="1" applyFill="1" applyBorder="1" applyAlignment="1">
      <alignment horizontal="center" wrapText="1"/>
    </xf>
    <xf numFmtId="0" fontId="18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wrapText="1"/>
    </xf>
    <xf numFmtId="0" fontId="28" fillId="4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center" wrapText="1"/>
    </xf>
    <xf numFmtId="0" fontId="8" fillId="18" borderId="4" xfId="0" applyFont="1" applyFill="1" applyBorder="1" applyAlignment="1">
      <alignment horizontal="center" wrapText="1"/>
    </xf>
    <xf numFmtId="0" fontId="6" fillId="18" borderId="4" xfId="0" applyFont="1" applyFill="1" applyBorder="1" applyAlignment="1">
      <alignment horizontal="center" wrapText="1"/>
    </xf>
    <xf numFmtId="0" fontId="2" fillId="18" borderId="4" xfId="0" applyFont="1" applyFill="1" applyBorder="1" applyAlignment="1">
      <alignment wrapText="1"/>
    </xf>
    <xf numFmtId="0" fontId="3" fillId="18" borderId="5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5" fillId="21" borderId="6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wrapText="1"/>
    </xf>
    <xf numFmtId="0" fontId="27" fillId="4" borderId="4" xfId="0" applyFont="1" applyFill="1" applyBorder="1" applyAlignment="1">
      <alignment horizontal="center" wrapText="1"/>
    </xf>
    <xf numFmtId="0" fontId="12" fillId="4" borderId="4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38" fillId="22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23" borderId="12" xfId="0" applyFont="1" applyFill="1" applyBorder="1" applyAlignment="1">
      <alignment horizontal="center" vertical="center" wrapText="1"/>
    </xf>
    <xf numFmtId="14" fontId="2" fillId="23" borderId="12" xfId="0" applyNumberFormat="1" applyFont="1" applyFill="1" applyBorder="1" applyAlignment="1">
      <alignment horizontal="center" vertical="center" wrapText="1"/>
    </xf>
    <xf numFmtId="0" fontId="1" fillId="23" borderId="0" xfId="0" applyFont="1" applyFill="1" applyBorder="1" applyAlignment="1">
      <alignment horizontal="center" vertical="center" wrapText="1"/>
    </xf>
    <xf numFmtId="0" fontId="38" fillId="23" borderId="0" xfId="0" applyFont="1" applyFill="1" applyBorder="1" applyAlignment="1">
      <alignment horizontal="center" vertical="center" wrapText="1"/>
    </xf>
    <xf numFmtId="0" fontId="3" fillId="23" borderId="0" xfId="0" applyFont="1" applyFill="1" applyBorder="1" applyAlignment="1">
      <alignment horizontal="center" vertical="center" wrapText="1"/>
    </xf>
    <xf numFmtId="0" fontId="5" fillId="23" borderId="0" xfId="0" applyFont="1" applyFill="1" applyBorder="1" applyAlignment="1">
      <alignment horizontal="center" vertical="center" wrapText="1"/>
    </xf>
    <xf numFmtId="0" fontId="11" fillId="23" borderId="0" xfId="0" applyFont="1" applyFill="1" applyBorder="1" applyAlignment="1">
      <alignment horizontal="center" vertical="center" wrapText="1"/>
    </xf>
    <xf numFmtId="0" fontId="2" fillId="23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7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7" fillId="23" borderId="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1" fillId="22" borderId="4" xfId="0" applyFont="1" applyFill="1" applyBorder="1" applyAlignment="1">
      <alignment horizontal="center" vertical="center" wrapText="1"/>
    </xf>
    <xf numFmtId="0" fontId="41" fillId="22" borderId="4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wrapText="1"/>
    </xf>
    <xf numFmtId="0" fontId="21" fillId="4" borderId="4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  <xf numFmtId="0" fontId="22" fillId="8" borderId="0" xfId="0" applyFont="1" applyFill="1" applyAlignment="1">
      <alignment horizont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 wrapText="1"/>
    </xf>
    <xf numFmtId="0" fontId="2" fillId="11" borderId="9" xfId="0" applyFont="1" applyFill="1" applyBorder="1" applyAlignment="1">
      <alignment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3" borderId="9" xfId="0" applyFont="1" applyFill="1" applyBorder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 wrapText="1"/>
    </xf>
    <xf numFmtId="0" fontId="2" fillId="23" borderId="0" xfId="0" applyFont="1" applyFill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wrapText="1"/>
    </xf>
    <xf numFmtId="0" fontId="19" fillId="4" borderId="4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0" fontId="0" fillId="23" borderId="0" xfId="0" applyFont="1" applyFill="1" applyAlignment="1">
      <alignment horizontal="center" vertical="center"/>
    </xf>
    <xf numFmtId="0" fontId="2" fillId="12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6" fillId="18" borderId="3" xfId="0" applyFont="1" applyFill="1" applyBorder="1" applyAlignment="1">
      <alignment horizontal="center" vertical="center" wrapText="1"/>
    </xf>
    <xf numFmtId="0" fontId="19" fillId="18" borderId="3" xfId="0" applyFont="1" applyFill="1" applyBorder="1" applyAlignment="1">
      <alignment horizontal="center" wrapText="1"/>
    </xf>
    <xf numFmtId="0" fontId="21" fillId="18" borderId="4" xfId="0" applyFont="1" applyFill="1" applyBorder="1" applyAlignment="1">
      <alignment horizontal="center" wrapText="1"/>
    </xf>
    <xf numFmtId="0" fontId="2" fillId="21" borderId="4" xfId="0" applyFont="1" applyFill="1" applyBorder="1" applyAlignment="1">
      <alignment vertical="center" wrapText="1"/>
    </xf>
    <xf numFmtId="0" fontId="21" fillId="21" borderId="4" xfId="0" applyFont="1" applyFill="1" applyBorder="1" applyAlignment="1">
      <alignment horizontal="center" vertical="center" wrapText="1"/>
    </xf>
    <xf numFmtId="0" fontId="41" fillId="21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5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4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0" fontId="27" fillId="4" borderId="3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46" fillId="4" borderId="4" xfId="0" applyFont="1" applyFill="1" applyBorder="1" applyAlignment="1">
      <alignment horizontal="center" wrapText="1"/>
    </xf>
    <xf numFmtId="0" fontId="47" fillId="4" borderId="4" xfId="0" applyFont="1" applyFill="1" applyBorder="1" applyAlignment="1">
      <alignment horizontal="center" wrapText="1"/>
    </xf>
    <xf numFmtId="0" fontId="24" fillId="4" borderId="4" xfId="0" applyFont="1" applyFill="1" applyBorder="1" applyAlignment="1">
      <alignment horizontal="center" wrapText="1"/>
    </xf>
    <xf numFmtId="0" fontId="49" fillId="4" borderId="5" xfId="0" applyFont="1" applyFill="1" applyBorder="1" applyAlignment="1">
      <alignment horizontal="center" wrapText="1"/>
    </xf>
    <xf numFmtId="0" fontId="6" fillId="18" borderId="8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vertical="center" wrapText="1"/>
    </xf>
    <xf numFmtId="0" fontId="2" fillId="18" borderId="5" xfId="0" applyFont="1" applyFill="1" applyBorder="1" applyAlignment="1">
      <alignment vertical="center" wrapText="1"/>
    </xf>
    <xf numFmtId="0" fontId="2" fillId="18" borderId="6" xfId="0" applyFont="1" applyFill="1" applyBorder="1" applyAlignment="1">
      <alignment wrapText="1"/>
    </xf>
    <xf numFmtId="0" fontId="2" fillId="18" borderId="5" xfId="0" applyFont="1" applyFill="1" applyBorder="1" applyAlignment="1">
      <alignment wrapText="1"/>
    </xf>
    <xf numFmtId="0" fontId="24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48" fillId="4" borderId="4" xfId="0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41" fillId="4" borderId="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5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24" fillId="4" borderId="2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wrapText="1"/>
    </xf>
    <xf numFmtId="0" fontId="52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8" fillId="18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wrapText="1"/>
    </xf>
    <xf numFmtId="0" fontId="22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wrapText="1"/>
    </xf>
    <xf numFmtId="0" fontId="43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21" fillId="22" borderId="2" xfId="0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wrapText="1"/>
    </xf>
    <xf numFmtId="0" fontId="2" fillId="13" borderId="9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2" fillId="12" borderId="9" xfId="0" applyFont="1" applyFill="1" applyBorder="1" applyAlignment="1">
      <alignment horizontal="center" vertical="center" wrapText="1"/>
    </xf>
    <xf numFmtId="0" fontId="2" fillId="12" borderId="0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0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2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99"/>
      <color rgb="FFFF9900"/>
      <color rgb="FFFF00FF"/>
      <color rgb="FF9A57CD"/>
      <color rgb="FFCC00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9C99-DBC2-4123-8E98-2FB17A7C367B}">
  <dimension ref="A1:I16"/>
  <sheetViews>
    <sheetView topLeftCell="A10" workbookViewId="0">
      <selection activeCell="L8" sqref="L8"/>
    </sheetView>
  </sheetViews>
  <sheetFormatPr defaultRowHeight="15" x14ac:dyDescent="0.25"/>
  <cols>
    <col min="1" max="1" width="9.140625" style="22"/>
    <col min="2" max="2" width="38.28515625" style="22" customWidth="1"/>
    <col min="3" max="3" width="31.85546875" style="22" customWidth="1"/>
    <col min="4" max="4" width="32.28515625" style="22" customWidth="1"/>
    <col min="5" max="5" width="34.42578125" style="22" customWidth="1"/>
    <col min="6" max="6" width="33.85546875" style="22" customWidth="1"/>
    <col min="7" max="7" width="19.85546875" style="22" customWidth="1"/>
    <col min="8" max="8" width="12.85546875" style="22" customWidth="1"/>
    <col min="9" max="9" width="15.42578125" style="22" customWidth="1"/>
    <col min="10" max="16384" width="9.140625" style="22"/>
  </cols>
  <sheetData>
    <row r="1" spans="1:9" ht="15.75" thickBot="1" x14ac:dyDescent="0.3"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</row>
    <row r="2" spans="1:9" ht="15.75" thickBot="1" x14ac:dyDescent="0.3">
      <c r="A2" s="1"/>
      <c r="B2" s="2">
        <v>43528</v>
      </c>
      <c r="C2" s="2">
        <v>43529</v>
      </c>
      <c r="D2" s="2">
        <v>43530</v>
      </c>
      <c r="E2" s="2">
        <v>43531</v>
      </c>
      <c r="F2" s="2">
        <v>43532</v>
      </c>
      <c r="G2" s="2">
        <v>43533</v>
      </c>
      <c r="H2" s="217" t="s">
        <v>49</v>
      </c>
      <c r="I2" s="218"/>
    </row>
    <row r="3" spans="1:9" ht="109.5" customHeight="1" thickBot="1" x14ac:dyDescent="0.3">
      <c r="A3" s="3" t="s">
        <v>6</v>
      </c>
      <c r="B3" s="13" t="s">
        <v>33</v>
      </c>
      <c r="C3" s="15"/>
      <c r="D3" s="20"/>
      <c r="E3" s="4" t="s">
        <v>0</v>
      </c>
      <c r="F3" s="5" t="s">
        <v>1</v>
      </c>
      <c r="G3" s="20"/>
      <c r="H3" s="223" t="s">
        <v>36</v>
      </c>
      <c r="I3" s="224"/>
    </row>
    <row r="4" spans="1:9" ht="72" customHeight="1" thickBot="1" x14ac:dyDescent="0.3">
      <c r="A4" s="6" t="s">
        <v>2</v>
      </c>
      <c r="B4" s="20"/>
      <c r="C4" s="7" t="s">
        <v>3</v>
      </c>
      <c r="D4" s="20"/>
      <c r="E4" s="8" t="s">
        <v>4</v>
      </c>
      <c r="F4" s="20"/>
      <c r="G4" s="20"/>
      <c r="H4" s="221" t="s">
        <v>37</v>
      </c>
      <c r="I4" s="222"/>
    </row>
    <row r="5" spans="1:9" ht="15.75" thickBot="1" x14ac:dyDescent="0.3">
      <c r="A5" s="10" t="s">
        <v>5</v>
      </c>
      <c r="B5" s="24">
        <v>43535</v>
      </c>
      <c r="C5" s="11">
        <v>43536</v>
      </c>
      <c r="D5" s="11">
        <v>43537</v>
      </c>
      <c r="E5" s="11">
        <v>43538</v>
      </c>
      <c r="F5" s="11">
        <v>43539</v>
      </c>
      <c r="G5" s="11">
        <v>43540</v>
      </c>
      <c r="H5" s="219" t="s">
        <v>38</v>
      </c>
      <c r="I5" s="220"/>
    </row>
    <row r="6" spans="1:9" ht="61.5" customHeight="1" thickBot="1" x14ac:dyDescent="0.3">
      <c r="A6" s="23" t="s">
        <v>6</v>
      </c>
      <c r="B6" s="25" t="s">
        <v>7</v>
      </c>
      <c r="C6" s="15" t="s">
        <v>8</v>
      </c>
      <c r="D6" s="12" t="s">
        <v>9</v>
      </c>
      <c r="E6" s="4" t="s">
        <v>10</v>
      </c>
      <c r="F6" s="5" t="s">
        <v>11</v>
      </c>
      <c r="G6" s="20"/>
      <c r="H6" s="227" t="s">
        <v>39</v>
      </c>
      <c r="I6" s="228"/>
    </row>
    <row r="7" spans="1:9" ht="40.5" customHeight="1" thickBot="1" x14ac:dyDescent="0.3">
      <c r="A7" s="6" t="s">
        <v>2</v>
      </c>
      <c r="B7" s="13" t="s">
        <v>12</v>
      </c>
      <c r="C7" s="20"/>
      <c r="D7" s="8" t="s">
        <v>13</v>
      </c>
      <c r="E7" s="20"/>
      <c r="F7" s="14" t="s">
        <v>14</v>
      </c>
      <c r="G7" s="20"/>
      <c r="H7" s="225" t="s">
        <v>40</v>
      </c>
      <c r="I7" s="226"/>
    </row>
    <row r="8" spans="1:9" ht="26.25" customHeight="1" thickBot="1" x14ac:dyDescent="0.3">
      <c r="A8" s="10" t="s">
        <v>5</v>
      </c>
      <c r="B8" s="11">
        <v>43542</v>
      </c>
      <c r="C8" s="11">
        <v>43543</v>
      </c>
      <c r="D8" s="11">
        <v>43544</v>
      </c>
      <c r="E8" s="11">
        <v>43545</v>
      </c>
      <c r="F8" s="11">
        <v>43546</v>
      </c>
      <c r="G8" s="11">
        <v>43547</v>
      </c>
      <c r="H8" s="215" t="s">
        <v>41</v>
      </c>
      <c r="I8" s="216"/>
    </row>
    <row r="9" spans="1:9" ht="102.75" thickBot="1" x14ac:dyDescent="0.3">
      <c r="A9" s="3" t="s">
        <v>6</v>
      </c>
      <c r="B9" s="12" t="s">
        <v>15</v>
      </c>
      <c r="C9" s="15" t="s">
        <v>16</v>
      </c>
      <c r="D9" s="12" t="s">
        <v>17</v>
      </c>
      <c r="E9" s="20" t="s">
        <v>77</v>
      </c>
      <c r="F9" s="5" t="s">
        <v>50</v>
      </c>
      <c r="G9" s="20"/>
      <c r="H9" s="26" t="s">
        <v>42</v>
      </c>
      <c r="I9" s="27" t="s">
        <v>43</v>
      </c>
    </row>
    <row r="10" spans="1:9" ht="71.25" customHeight="1" thickBot="1" x14ac:dyDescent="0.3">
      <c r="A10" s="6" t="s">
        <v>2</v>
      </c>
      <c r="B10" s="8" t="s">
        <v>18</v>
      </c>
      <c r="C10" s="16" t="s">
        <v>19</v>
      </c>
      <c r="D10" s="20"/>
      <c r="E10" s="8" t="s">
        <v>20</v>
      </c>
      <c r="F10" s="20" t="s">
        <v>21</v>
      </c>
      <c r="G10" s="20"/>
      <c r="H10" s="210" t="s">
        <v>44</v>
      </c>
      <c r="I10" s="211"/>
    </row>
    <row r="11" spans="1:9" ht="15.75" thickBot="1" x14ac:dyDescent="0.3">
      <c r="A11" s="10"/>
      <c r="B11" s="11">
        <v>43549</v>
      </c>
      <c r="C11" s="11">
        <v>43550</v>
      </c>
      <c r="D11" s="11">
        <v>43551</v>
      </c>
      <c r="E11" s="11">
        <v>43552</v>
      </c>
      <c r="F11" s="11">
        <v>43553</v>
      </c>
      <c r="G11" s="11">
        <v>43554</v>
      </c>
      <c r="H11" s="207" t="s">
        <v>45</v>
      </c>
      <c r="I11" s="208"/>
    </row>
    <row r="12" spans="1:9" ht="105.75" customHeight="1" thickBot="1" x14ac:dyDescent="0.3">
      <c r="A12" s="3" t="s">
        <v>6</v>
      </c>
      <c r="B12" s="4" t="s">
        <v>22</v>
      </c>
      <c r="C12" s="4" t="s">
        <v>23</v>
      </c>
      <c r="D12" s="15" t="s">
        <v>24</v>
      </c>
      <c r="E12" s="15" t="s">
        <v>25</v>
      </c>
      <c r="F12" s="12" t="s">
        <v>26</v>
      </c>
      <c r="G12" s="20"/>
      <c r="H12" s="207"/>
      <c r="I12" s="208"/>
    </row>
    <row r="13" spans="1:9" ht="51.75" thickBot="1" x14ac:dyDescent="0.3">
      <c r="A13" s="17" t="s">
        <v>2</v>
      </c>
      <c r="B13" s="18" t="s">
        <v>34</v>
      </c>
      <c r="C13" s="21"/>
      <c r="D13" s="21"/>
      <c r="E13" s="21"/>
      <c r="F13" s="19" t="s">
        <v>35</v>
      </c>
      <c r="G13" s="21"/>
      <c r="H13" s="213" t="s">
        <v>46</v>
      </c>
      <c r="I13" s="214"/>
    </row>
    <row r="14" spans="1:9" x14ac:dyDescent="0.25">
      <c r="H14" s="212" t="s">
        <v>47</v>
      </c>
      <c r="I14" s="212"/>
    </row>
    <row r="15" spans="1:9" x14ac:dyDescent="0.25">
      <c r="H15" s="209" t="s">
        <v>48</v>
      </c>
      <c r="I15" s="209"/>
    </row>
    <row r="16" spans="1:9" x14ac:dyDescent="0.25">
      <c r="H16" s="209"/>
      <c r="I16" s="209"/>
    </row>
  </sheetData>
  <mergeCells count="12">
    <mergeCell ref="H8:I8"/>
    <mergeCell ref="H2:I2"/>
    <mergeCell ref="H5:I5"/>
    <mergeCell ref="H4:I4"/>
    <mergeCell ref="H3:I3"/>
    <mergeCell ref="H7:I7"/>
    <mergeCell ref="H6:I6"/>
    <mergeCell ref="H11:I12"/>
    <mergeCell ref="H15:I16"/>
    <mergeCell ref="H10:I10"/>
    <mergeCell ref="H14:I14"/>
    <mergeCell ref="H13:I1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C536-938A-4967-B324-80FB780BBFDF}">
  <dimension ref="A1:J16"/>
  <sheetViews>
    <sheetView topLeftCell="A16" workbookViewId="0">
      <selection activeCell="F12" sqref="F12"/>
    </sheetView>
  </sheetViews>
  <sheetFormatPr defaultRowHeight="15" x14ac:dyDescent="0.25"/>
  <cols>
    <col min="1" max="1" width="9.140625" style="22"/>
    <col min="2" max="2" width="38.28515625" style="22" customWidth="1"/>
    <col min="3" max="3" width="36.5703125" style="22" customWidth="1"/>
    <col min="4" max="4" width="32.28515625" style="22" customWidth="1"/>
    <col min="5" max="5" width="34.42578125" style="22" customWidth="1"/>
    <col min="6" max="6" width="33.85546875" style="22" customWidth="1"/>
    <col min="7" max="7" width="33.5703125" style="22" customWidth="1"/>
    <col min="8" max="8" width="12.85546875" style="22" customWidth="1"/>
    <col min="9" max="9" width="15.42578125" style="22" customWidth="1"/>
    <col min="10" max="16384" width="9.140625" style="22"/>
  </cols>
  <sheetData>
    <row r="1" spans="1:10" ht="15.75" thickBot="1" x14ac:dyDescent="0.3"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</row>
    <row r="2" spans="1:10" ht="15.75" thickBot="1" x14ac:dyDescent="0.3">
      <c r="A2" s="1"/>
      <c r="B2" s="28">
        <v>43556</v>
      </c>
      <c r="C2" s="2">
        <v>43557</v>
      </c>
      <c r="D2" s="2">
        <v>43558</v>
      </c>
      <c r="E2" s="2">
        <v>43559</v>
      </c>
      <c r="F2" s="2">
        <v>43560</v>
      </c>
      <c r="G2" s="2">
        <v>43561</v>
      </c>
      <c r="H2" s="217" t="s">
        <v>49</v>
      </c>
      <c r="I2" s="218"/>
      <c r="J2" s="52" t="s">
        <v>69</v>
      </c>
    </row>
    <row r="3" spans="1:10" ht="90" customHeight="1" thickBot="1" x14ac:dyDescent="0.3">
      <c r="A3" s="3" t="s">
        <v>6</v>
      </c>
      <c r="B3" s="35" t="s">
        <v>51</v>
      </c>
      <c r="C3" s="36" t="s">
        <v>52</v>
      </c>
      <c r="D3" s="36" t="s">
        <v>53</v>
      </c>
      <c r="E3" s="36" t="s">
        <v>54</v>
      </c>
      <c r="F3" s="37" t="s">
        <v>55</v>
      </c>
      <c r="G3" s="20"/>
      <c r="H3" s="223" t="s">
        <v>36</v>
      </c>
      <c r="I3" s="224"/>
    </row>
    <row r="4" spans="1:10" ht="67.5" customHeight="1" thickBot="1" x14ac:dyDescent="0.3">
      <c r="A4" s="6" t="s">
        <v>2</v>
      </c>
      <c r="B4" s="47"/>
      <c r="C4" s="20"/>
      <c r="D4" s="43" t="s">
        <v>56</v>
      </c>
      <c r="E4" s="20"/>
      <c r="F4" s="20"/>
      <c r="G4" s="20"/>
      <c r="H4" s="221" t="s">
        <v>37</v>
      </c>
      <c r="I4" s="222"/>
    </row>
    <row r="5" spans="1:10" ht="15.75" thickBot="1" x14ac:dyDescent="0.3">
      <c r="A5" s="10" t="s">
        <v>5</v>
      </c>
      <c r="B5" s="28">
        <v>43563</v>
      </c>
      <c r="C5" s="2">
        <v>43564</v>
      </c>
      <c r="D5" s="2">
        <v>43565</v>
      </c>
      <c r="E5" s="2">
        <v>43566</v>
      </c>
      <c r="F5" s="2">
        <v>43567</v>
      </c>
      <c r="G5" s="2">
        <v>43568</v>
      </c>
      <c r="H5" s="219" t="s">
        <v>38</v>
      </c>
      <c r="I5" s="220"/>
    </row>
    <row r="6" spans="1:10" ht="113.25" customHeight="1" thickBot="1" x14ac:dyDescent="0.3">
      <c r="A6" s="23" t="s">
        <v>6</v>
      </c>
      <c r="B6" s="35" t="s">
        <v>57</v>
      </c>
      <c r="C6" s="38" t="s">
        <v>58</v>
      </c>
      <c r="D6" s="39" t="s">
        <v>59</v>
      </c>
      <c r="E6" s="40" t="s">
        <v>63</v>
      </c>
      <c r="F6" s="38" t="s">
        <v>91</v>
      </c>
      <c r="G6" s="41" t="s">
        <v>60</v>
      </c>
      <c r="H6" s="227" t="s">
        <v>39</v>
      </c>
      <c r="I6" s="228"/>
    </row>
    <row r="7" spans="1:10" ht="72.75" customHeight="1" thickBot="1" x14ac:dyDescent="0.3">
      <c r="A7" s="6" t="s">
        <v>2</v>
      </c>
      <c r="B7" s="42" t="s">
        <v>61</v>
      </c>
      <c r="C7" s="43" t="s">
        <v>65</v>
      </c>
      <c r="D7" s="44"/>
      <c r="E7" s="45" t="s">
        <v>62</v>
      </c>
      <c r="F7" s="43" t="s">
        <v>64</v>
      </c>
      <c r="G7" s="46" t="s">
        <v>78</v>
      </c>
      <c r="H7" s="225" t="s">
        <v>40</v>
      </c>
      <c r="I7" s="226"/>
    </row>
    <row r="8" spans="1:10" ht="20.25" customHeight="1" thickBot="1" x14ac:dyDescent="0.3">
      <c r="A8" s="10" t="s">
        <v>5</v>
      </c>
      <c r="B8" s="28">
        <v>43570</v>
      </c>
      <c r="C8" s="2">
        <v>43571</v>
      </c>
      <c r="D8" s="2">
        <v>43572</v>
      </c>
      <c r="E8" s="2">
        <v>43573</v>
      </c>
      <c r="F8" s="2">
        <v>43574</v>
      </c>
      <c r="G8" s="2">
        <v>43575</v>
      </c>
      <c r="H8" s="215" t="s">
        <v>41</v>
      </c>
      <c r="I8" s="216"/>
    </row>
    <row r="9" spans="1:10" ht="90" customHeight="1" thickBot="1" x14ac:dyDescent="0.3">
      <c r="A9" s="3" t="s">
        <v>6</v>
      </c>
      <c r="B9" s="53" t="s">
        <v>79</v>
      </c>
      <c r="C9" s="48" t="s">
        <v>70</v>
      </c>
      <c r="D9" s="48" t="s">
        <v>66</v>
      </c>
      <c r="E9" s="54" t="s">
        <v>71</v>
      </c>
      <c r="F9" s="49" t="s">
        <v>72</v>
      </c>
      <c r="G9" s="55"/>
      <c r="H9" s="26" t="s">
        <v>42</v>
      </c>
      <c r="I9" s="27" t="s">
        <v>43</v>
      </c>
    </row>
    <row r="10" spans="1:10" ht="88.5" customHeight="1" thickBot="1" x14ac:dyDescent="0.25">
      <c r="A10" s="6" t="s">
        <v>2</v>
      </c>
      <c r="B10" s="56" t="s">
        <v>74</v>
      </c>
      <c r="C10" s="57" t="s">
        <v>84</v>
      </c>
      <c r="D10" s="58"/>
      <c r="E10" s="59"/>
      <c r="F10" s="60" t="s">
        <v>73</v>
      </c>
      <c r="G10" s="9"/>
      <c r="H10" s="210" t="s">
        <v>44</v>
      </c>
      <c r="I10" s="211"/>
    </row>
    <row r="11" spans="1:10" ht="15.75" thickBot="1" x14ac:dyDescent="0.3">
      <c r="A11" s="10"/>
      <c r="B11" s="28">
        <v>43577</v>
      </c>
      <c r="C11" s="2">
        <v>43578</v>
      </c>
      <c r="D11" s="2">
        <v>43579</v>
      </c>
      <c r="E11" s="2">
        <v>43580</v>
      </c>
      <c r="F11" s="2">
        <v>43581</v>
      </c>
      <c r="G11" s="2">
        <v>43582</v>
      </c>
      <c r="H11" s="207" t="s">
        <v>45</v>
      </c>
      <c r="I11" s="208"/>
    </row>
    <row r="12" spans="1:10" ht="105.75" customHeight="1" thickBot="1" x14ac:dyDescent="0.3">
      <c r="A12" s="3" t="s">
        <v>6</v>
      </c>
      <c r="B12" s="50" t="s">
        <v>67</v>
      </c>
      <c r="C12" s="39" t="s">
        <v>75</v>
      </c>
      <c r="D12" s="40" t="s">
        <v>80</v>
      </c>
      <c r="E12" s="18" t="s">
        <v>81</v>
      </c>
      <c r="F12" s="49" t="s">
        <v>92</v>
      </c>
      <c r="G12" s="20"/>
      <c r="H12" s="207"/>
      <c r="I12" s="208"/>
      <c r="J12" s="51" t="s">
        <v>68</v>
      </c>
    </row>
    <row r="13" spans="1:10" ht="82.5" customHeight="1" thickBot="1" x14ac:dyDescent="0.3">
      <c r="A13" s="17" t="s">
        <v>2</v>
      </c>
      <c r="B13" s="67" t="s">
        <v>76</v>
      </c>
      <c r="C13" s="68" t="s">
        <v>83</v>
      </c>
      <c r="D13" s="12" t="s">
        <v>82</v>
      </c>
      <c r="E13" s="12"/>
      <c r="F13" s="15" t="s">
        <v>86</v>
      </c>
      <c r="G13" s="69" t="s">
        <v>85</v>
      </c>
      <c r="H13" s="229" t="s">
        <v>46</v>
      </c>
      <c r="I13" s="230"/>
    </row>
    <row r="14" spans="1:10" ht="15.75" thickBot="1" x14ac:dyDescent="0.3">
      <c r="A14" s="10"/>
      <c r="B14" s="28">
        <v>43584</v>
      </c>
      <c r="C14" s="2">
        <v>43585</v>
      </c>
      <c r="D14" s="29">
        <v>43579</v>
      </c>
      <c r="E14" s="29">
        <v>43580</v>
      </c>
      <c r="F14" s="29">
        <v>43581</v>
      </c>
      <c r="G14" s="29">
        <v>43582</v>
      </c>
      <c r="H14" s="212" t="s">
        <v>47</v>
      </c>
      <c r="I14" s="212"/>
    </row>
    <row r="15" spans="1:10" ht="66.75" customHeight="1" thickBot="1" x14ac:dyDescent="0.3">
      <c r="A15" s="3" t="s">
        <v>6</v>
      </c>
      <c r="B15" s="50" t="s">
        <v>90</v>
      </c>
      <c r="C15" s="72" t="s">
        <v>87</v>
      </c>
      <c r="D15" s="30"/>
      <c r="E15" s="30"/>
      <c r="F15" s="31"/>
      <c r="G15" s="32"/>
      <c r="H15" s="209" t="s">
        <v>48</v>
      </c>
      <c r="I15" s="209"/>
    </row>
    <row r="16" spans="1:10" ht="56.25" customHeight="1" thickBot="1" x14ac:dyDescent="0.3">
      <c r="A16" s="17" t="s">
        <v>2</v>
      </c>
      <c r="B16" s="70" t="s">
        <v>88</v>
      </c>
      <c r="C16" s="71" t="s">
        <v>89</v>
      </c>
      <c r="D16" s="33"/>
      <c r="E16" s="33"/>
      <c r="F16" s="34"/>
      <c r="G16" s="33"/>
      <c r="H16" s="209"/>
      <c r="I16" s="209"/>
    </row>
  </sheetData>
  <mergeCells count="12">
    <mergeCell ref="H15:I16"/>
    <mergeCell ref="H2:I2"/>
    <mergeCell ref="H3:I3"/>
    <mergeCell ref="H4:I4"/>
    <mergeCell ref="H5:I5"/>
    <mergeCell ref="H6:I6"/>
    <mergeCell ref="H7:I7"/>
    <mergeCell ref="H8:I8"/>
    <mergeCell ref="H10:I10"/>
    <mergeCell ref="H11:I12"/>
    <mergeCell ref="H13:I13"/>
    <mergeCell ref="H14:I14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6CBD-7CAF-4E9D-99C6-FAF6CDD5A70D}">
  <dimension ref="A1:J16"/>
  <sheetViews>
    <sheetView topLeftCell="B1" workbookViewId="0">
      <selection activeCell="E12" sqref="E12"/>
    </sheetView>
  </sheetViews>
  <sheetFormatPr defaultRowHeight="15" x14ac:dyDescent="0.25"/>
  <cols>
    <col min="1" max="1" width="9.140625" style="22"/>
    <col min="2" max="2" width="43" style="22" customWidth="1"/>
    <col min="3" max="3" width="36.5703125" style="22" customWidth="1"/>
    <col min="4" max="4" width="32.28515625" style="22" customWidth="1"/>
    <col min="5" max="5" width="34.42578125" style="22" customWidth="1"/>
    <col min="6" max="6" width="33.85546875" style="22" customWidth="1"/>
    <col min="7" max="7" width="33.5703125" style="22" customWidth="1"/>
    <col min="8" max="8" width="12.85546875" style="22" customWidth="1"/>
    <col min="9" max="9" width="15.42578125" style="22" customWidth="1"/>
    <col min="10" max="16384" width="9.140625" style="22"/>
  </cols>
  <sheetData>
    <row r="1" spans="1:10" ht="15.75" thickBot="1" x14ac:dyDescent="0.3"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</row>
    <row r="2" spans="1:10" ht="15.75" thickBot="1" x14ac:dyDescent="0.3">
      <c r="A2" s="61"/>
      <c r="B2" s="29">
        <v>43584</v>
      </c>
      <c r="C2" s="29">
        <v>43585</v>
      </c>
      <c r="D2" s="2">
        <v>43586</v>
      </c>
      <c r="E2" s="2">
        <v>43587</v>
      </c>
      <c r="F2" s="2">
        <v>43588</v>
      </c>
      <c r="G2" s="2">
        <v>43589</v>
      </c>
      <c r="H2" s="217" t="s">
        <v>49</v>
      </c>
      <c r="I2" s="218"/>
      <c r="J2" s="52" t="s">
        <v>69</v>
      </c>
    </row>
    <row r="3" spans="1:10" ht="90" customHeight="1" thickBot="1" x14ac:dyDescent="0.25">
      <c r="A3" s="3" t="s">
        <v>6</v>
      </c>
      <c r="B3" s="63"/>
      <c r="C3" s="64"/>
      <c r="D3" s="50" t="s">
        <v>93</v>
      </c>
      <c r="E3" s="39" t="s">
        <v>94</v>
      </c>
      <c r="F3" s="39" t="s">
        <v>95</v>
      </c>
      <c r="G3" s="58"/>
      <c r="H3" s="223" t="s">
        <v>36</v>
      </c>
      <c r="I3" s="224"/>
    </row>
    <row r="4" spans="1:10" ht="67.5" customHeight="1" thickBot="1" x14ac:dyDescent="0.25">
      <c r="A4" s="6" t="s">
        <v>2</v>
      </c>
      <c r="B4" s="65"/>
      <c r="C4" s="66"/>
      <c r="D4" s="73"/>
      <c r="E4" s="59"/>
      <c r="F4" s="59"/>
      <c r="G4" s="9"/>
      <c r="H4" s="221" t="s">
        <v>37</v>
      </c>
      <c r="I4" s="222"/>
    </row>
    <row r="5" spans="1:10" ht="15.75" thickBot="1" x14ac:dyDescent="0.3">
      <c r="A5" s="1" t="s">
        <v>5</v>
      </c>
      <c r="B5" s="2">
        <v>43591</v>
      </c>
      <c r="C5" s="2">
        <v>43592</v>
      </c>
      <c r="D5" s="2">
        <v>43593</v>
      </c>
      <c r="E5" s="2">
        <v>43594</v>
      </c>
      <c r="F5" s="2">
        <v>43595</v>
      </c>
      <c r="G5" s="2">
        <v>43596</v>
      </c>
      <c r="H5" s="219" t="s">
        <v>38</v>
      </c>
      <c r="I5" s="220"/>
    </row>
    <row r="6" spans="1:10" ht="113.25" customHeight="1" thickBot="1" x14ac:dyDescent="0.3">
      <c r="A6" s="3" t="s">
        <v>6</v>
      </c>
      <c r="B6" s="50" t="s">
        <v>98</v>
      </c>
      <c r="C6" s="48" t="s">
        <v>96</v>
      </c>
      <c r="D6" s="39" t="s">
        <v>99</v>
      </c>
      <c r="E6" s="37" t="s">
        <v>100</v>
      </c>
      <c r="F6" s="40" t="s">
        <v>101</v>
      </c>
      <c r="G6" s="21" t="s">
        <v>102</v>
      </c>
      <c r="H6" s="227" t="s">
        <v>39</v>
      </c>
      <c r="I6" s="228"/>
    </row>
    <row r="7" spans="1:10" ht="72.75" customHeight="1" thickBot="1" x14ac:dyDescent="0.25">
      <c r="A7" s="6" t="s">
        <v>2</v>
      </c>
      <c r="B7" s="56" t="s">
        <v>97</v>
      </c>
      <c r="C7" s="62" t="s">
        <v>103</v>
      </c>
      <c r="D7" s="59"/>
      <c r="E7" s="59"/>
      <c r="F7" s="74" t="s">
        <v>104</v>
      </c>
      <c r="G7" s="9"/>
      <c r="H7" s="225" t="s">
        <v>40</v>
      </c>
      <c r="I7" s="226"/>
    </row>
    <row r="8" spans="1:10" ht="20.25" customHeight="1" thickBot="1" x14ac:dyDescent="0.3">
      <c r="A8" s="1" t="s">
        <v>5</v>
      </c>
      <c r="B8" s="28">
        <v>43598</v>
      </c>
      <c r="C8" s="2">
        <v>43599</v>
      </c>
      <c r="D8" s="2">
        <v>43600</v>
      </c>
      <c r="E8" s="2">
        <v>43601</v>
      </c>
      <c r="F8" s="2">
        <v>43602</v>
      </c>
      <c r="G8" s="2">
        <v>43603</v>
      </c>
      <c r="H8" s="215" t="s">
        <v>41</v>
      </c>
      <c r="I8" s="216"/>
    </row>
    <row r="9" spans="1:10" ht="90" customHeight="1" thickBot="1" x14ac:dyDescent="0.3">
      <c r="A9" s="3" t="s">
        <v>6</v>
      </c>
      <c r="B9" s="96" t="s">
        <v>105</v>
      </c>
      <c r="C9" s="15" t="s">
        <v>106</v>
      </c>
      <c r="D9" s="12" t="s">
        <v>107</v>
      </c>
      <c r="E9" s="12" t="s">
        <v>108</v>
      </c>
      <c r="F9" s="75" t="s">
        <v>109</v>
      </c>
      <c r="G9" s="20"/>
      <c r="H9" s="26" t="s">
        <v>42</v>
      </c>
      <c r="I9" s="27" t="s">
        <v>43</v>
      </c>
    </row>
    <row r="10" spans="1:10" ht="88.5" customHeight="1" thickBot="1" x14ac:dyDescent="0.25">
      <c r="A10" s="6" t="s">
        <v>2</v>
      </c>
      <c r="B10" s="76" t="s">
        <v>110</v>
      </c>
      <c r="C10" s="59"/>
      <c r="D10" s="60" t="s">
        <v>111</v>
      </c>
      <c r="E10" s="59"/>
      <c r="F10" s="60" t="s">
        <v>112</v>
      </c>
      <c r="G10" s="9"/>
      <c r="H10" s="210" t="s">
        <v>44</v>
      </c>
      <c r="I10" s="211"/>
    </row>
    <row r="11" spans="1:10" ht="15.75" thickBot="1" x14ac:dyDescent="0.3">
      <c r="A11" s="1" t="s">
        <v>5</v>
      </c>
      <c r="B11" s="28">
        <v>43605</v>
      </c>
      <c r="C11" s="2">
        <v>43606</v>
      </c>
      <c r="D11" s="2">
        <v>43607</v>
      </c>
      <c r="E11" s="2">
        <v>43608</v>
      </c>
      <c r="F11" s="2">
        <v>43609</v>
      </c>
      <c r="G11" s="2">
        <v>43610</v>
      </c>
      <c r="H11" s="207" t="s">
        <v>45</v>
      </c>
      <c r="I11" s="208"/>
    </row>
    <row r="12" spans="1:10" ht="179.25" thickBot="1" x14ac:dyDescent="0.3">
      <c r="A12" s="3" t="s">
        <v>6</v>
      </c>
      <c r="B12" s="77" t="s">
        <v>113</v>
      </c>
      <c r="C12" s="15" t="s">
        <v>114</v>
      </c>
      <c r="D12" s="12" t="s">
        <v>115</v>
      </c>
      <c r="E12" s="5" t="s">
        <v>153</v>
      </c>
      <c r="F12" s="12" t="s">
        <v>153</v>
      </c>
      <c r="G12" s="58"/>
      <c r="H12" s="207"/>
      <c r="I12" s="208"/>
      <c r="J12" s="51" t="s">
        <v>68</v>
      </c>
    </row>
    <row r="13" spans="1:10" ht="55.5" customHeight="1" thickBot="1" x14ac:dyDescent="0.25">
      <c r="A13" s="6" t="s">
        <v>2</v>
      </c>
      <c r="B13" s="78" t="s">
        <v>116</v>
      </c>
      <c r="C13" s="79" t="s">
        <v>117</v>
      </c>
      <c r="D13" s="59"/>
      <c r="E13" s="59"/>
      <c r="F13" s="59"/>
      <c r="G13" s="58"/>
      <c r="H13" s="229" t="s">
        <v>46</v>
      </c>
      <c r="I13" s="230"/>
    </row>
    <row r="14" spans="1:10" ht="15.75" thickBot="1" x14ac:dyDescent="0.3">
      <c r="A14" s="1" t="s">
        <v>5</v>
      </c>
      <c r="B14" s="28">
        <v>43612</v>
      </c>
      <c r="C14" s="2">
        <v>43613</v>
      </c>
      <c r="D14" s="2">
        <v>43614</v>
      </c>
      <c r="E14" s="2">
        <v>43615</v>
      </c>
      <c r="F14" s="2">
        <v>43616</v>
      </c>
      <c r="G14" s="2">
        <v>43617</v>
      </c>
      <c r="H14" s="212" t="s">
        <v>47</v>
      </c>
      <c r="I14" s="212"/>
    </row>
    <row r="15" spans="1:10" ht="192" thickBot="1" x14ac:dyDescent="0.3">
      <c r="A15" s="3" t="s">
        <v>6</v>
      </c>
      <c r="B15" s="80" t="s">
        <v>118</v>
      </c>
      <c r="C15" s="15" t="s">
        <v>119</v>
      </c>
      <c r="D15" s="5" t="s">
        <v>120</v>
      </c>
      <c r="E15" s="8" t="s">
        <v>121</v>
      </c>
      <c r="F15" s="15" t="s">
        <v>122</v>
      </c>
      <c r="G15" s="58"/>
      <c r="H15" s="209" t="s">
        <v>48</v>
      </c>
      <c r="I15" s="209"/>
    </row>
    <row r="16" spans="1:10" ht="56.25" customHeight="1" thickBot="1" x14ac:dyDescent="0.25">
      <c r="A16" s="6" t="s">
        <v>2</v>
      </c>
      <c r="B16" s="80" t="s">
        <v>118</v>
      </c>
      <c r="C16" s="74" t="s">
        <v>123</v>
      </c>
      <c r="D16" s="59"/>
      <c r="E16" s="74" t="s">
        <v>124</v>
      </c>
      <c r="F16" s="59"/>
      <c r="G16" s="58"/>
      <c r="H16" s="209"/>
      <c r="I16" s="209"/>
    </row>
  </sheetData>
  <mergeCells count="12">
    <mergeCell ref="H15:I16"/>
    <mergeCell ref="H2:I2"/>
    <mergeCell ref="H3:I3"/>
    <mergeCell ref="H4:I4"/>
    <mergeCell ref="H5:I5"/>
    <mergeCell ref="H6:I6"/>
    <mergeCell ref="H7:I7"/>
    <mergeCell ref="H8:I8"/>
    <mergeCell ref="H10:I10"/>
    <mergeCell ref="H11:I12"/>
    <mergeCell ref="H13:I13"/>
    <mergeCell ref="H14:I14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69E6-7463-49F4-99E2-27A77286B675}">
  <dimension ref="A1:L42"/>
  <sheetViews>
    <sheetView zoomScale="80" zoomScaleNormal="80" workbookViewId="0">
      <selection activeCell="C3" sqref="C3"/>
    </sheetView>
  </sheetViews>
  <sheetFormatPr defaultRowHeight="15" x14ac:dyDescent="0.25"/>
  <cols>
    <col min="1" max="1" width="9.140625" style="91"/>
    <col min="2" max="2" width="30.42578125" style="91" customWidth="1"/>
    <col min="3" max="3" width="35.5703125" style="91" customWidth="1"/>
    <col min="4" max="4" width="57.42578125" style="91" bestFit="1" customWidth="1"/>
    <col min="5" max="5" width="46.28515625" style="91" bestFit="1" customWidth="1"/>
    <col min="6" max="6" width="40.85546875" style="91" bestFit="1" customWidth="1"/>
    <col min="7" max="7" width="44.28515625" style="91" customWidth="1"/>
    <col min="8" max="16384" width="9.140625" style="91"/>
  </cols>
  <sheetData>
    <row r="1" spans="1:12" ht="15.75" thickBot="1" x14ac:dyDescent="0.3">
      <c r="A1" s="22"/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/>
      <c r="I1" s="22"/>
      <c r="J1" s="22"/>
      <c r="K1" s="22"/>
      <c r="L1" s="22"/>
    </row>
    <row r="2" spans="1:12" ht="15.75" thickBot="1" x14ac:dyDescent="0.3">
      <c r="A2" s="61"/>
      <c r="B2" s="28">
        <v>43619</v>
      </c>
      <c r="C2" s="2">
        <v>43620</v>
      </c>
      <c r="D2" s="2">
        <v>43621</v>
      </c>
      <c r="E2" s="2">
        <v>43622</v>
      </c>
      <c r="F2" s="2">
        <v>43623</v>
      </c>
      <c r="G2" s="2">
        <v>43624</v>
      </c>
      <c r="H2" s="217" t="s">
        <v>49</v>
      </c>
      <c r="I2" s="218"/>
      <c r="J2" s="52" t="s">
        <v>69</v>
      </c>
      <c r="K2" s="22"/>
      <c r="L2" s="22"/>
    </row>
    <row r="3" spans="1:12" ht="189.75" customHeight="1" thickBot="1" x14ac:dyDescent="0.3">
      <c r="A3" s="3" t="s">
        <v>6</v>
      </c>
      <c r="B3" s="67" t="s">
        <v>125</v>
      </c>
      <c r="C3" s="15" t="s">
        <v>126</v>
      </c>
      <c r="D3" s="12" t="s">
        <v>128</v>
      </c>
      <c r="E3" s="5" t="s">
        <v>129</v>
      </c>
      <c r="F3" s="81" t="s">
        <v>130</v>
      </c>
      <c r="G3" s="20"/>
      <c r="H3" s="223" t="s">
        <v>36</v>
      </c>
      <c r="I3" s="224"/>
      <c r="J3" s="22"/>
      <c r="K3" s="22"/>
      <c r="L3" s="22"/>
    </row>
    <row r="4" spans="1:12" ht="69.75" customHeight="1" thickBot="1" x14ac:dyDescent="0.3">
      <c r="A4" s="6" t="s">
        <v>2</v>
      </c>
      <c r="B4" s="92" t="s">
        <v>131</v>
      </c>
      <c r="C4" s="45" t="s">
        <v>132</v>
      </c>
      <c r="D4" s="97" t="s">
        <v>133</v>
      </c>
      <c r="E4" s="98" t="s">
        <v>134</v>
      </c>
      <c r="F4" s="98" t="s">
        <v>135</v>
      </c>
      <c r="G4" s="20"/>
      <c r="H4" s="221" t="s">
        <v>37</v>
      </c>
      <c r="I4" s="222"/>
      <c r="J4" s="22"/>
      <c r="K4" s="22"/>
      <c r="L4" s="22"/>
    </row>
    <row r="5" spans="1:12" ht="15.75" customHeight="1" thickBot="1" x14ac:dyDescent="0.3">
      <c r="A5" s="1" t="s">
        <v>5</v>
      </c>
      <c r="B5" s="28">
        <v>43626</v>
      </c>
      <c r="C5" s="2">
        <v>43627</v>
      </c>
      <c r="D5" s="2">
        <v>43628</v>
      </c>
      <c r="E5" s="2">
        <v>43629</v>
      </c>
      <c r="F5" s="2">
        <v>43630</v>
      </c>
      <c r="G5" s="2">
        <v>43631</v>
      </c>
      <c r="H5" s="219" t="s">
        <v>38</v>
      </c>
      <c r="I5" s="220"/>
      <c r="J5" s="22"/>
      <c r="K5" s="22"/>
      <c r="L5" s="22"/>
    </row>
    <row r="6" spans="1:12" ht="153.75" thickBot="1" x14ac:dyDescent="0.3">
      <c r="A6" s="3" t="s">
        <v>6</v>
      </c>
      <c r="B6" s="67" t="s">
        <v>136</v>
      </c>
      <c r="C6" s="12" t="s">
        <v>137</v>
      </c>
      <c r="D6" s="4" t="s">
        <v>138</v>
      </c>
      <c r="E6" s="15" t="s">
        <v>139</v>
      </c>
      <c r="F6" s="12" t="s">
        <v>140</v>
      </c>
      <c r="G6" s="20"/>
      <c r="H6" s="227" t="s">
        <v>39</v>
      </c>
      <c r="I6" s="228"/>
      <c r="J6" s="22"/>
      <c r="K6" s="22"/>
      <c r="L6" s="22"/>
    </row>
    <row r="7" spans="1:12" ht="51.75" thickBot="1" x14ac:dyDescent="0.3">
      <c r="A7" s="6" t="s">
        <v>2</v>
      </c>
      <c r="B7" s="99" t="s">
        <v>141</v>
      </c>
      <c r="C7" s="8" t="s">
        <v>142</v>
      </c>
      <c r="D7" s="20"/>
      <c r="E7" s="12" t="s">
        <v>143</v>
      </c>
      <c r="F7" s="8" t="s">
        <v>144</v>
      </c>
      <c r="G7" s="20"/>
      <c r="H7" s="225" t="s">
        <v>40</v>
      </c>
      <c r="I7" s="226"/>
      <c r="J7" s="22"/>
      <c r="K7" s="22"/>
      <c r="L7" s="22"/>
    </row>
    <row r="8" spans="1:12" ht="15.75" thickBot="1" x14ac:dyDescent="0.3">
      <c r="A8" s="1" t="s">
        <v>5</v>
      </c>
      <c r="B8" s="28">
        <v>43633</v>
      </c>
      <c r="C8" s="2">
        <v>43634</v>
      </c>
      <c r="D8" s="2">
        <v>43635</v>
      </c>
      <c r="E8" s="2">
        <v>43636</v>
      </c>
      <c r="F8" s="2">
        <v>43637</v>
      </c>
      <c r="G8" s="2">
        <v>43638</v>
      </c>
      <c r="H8" s="215" t="s">
        <v>41</v>
      </c>
      <c r="I8" s="216"/>
      <c r="J8" s="22"/>
      <c r="K8" s="22"/>
      <c r="L8" s="22"/>
    </row>
    <row r="9" spans="1:12" ht="92.25" customHeight="1" thickBot="1" x14ac:dyDescent="0.3">
      <c r="A9" s="3" t="s">
        <v>6</v>
      </c>
      <c r="B9" s="67" t="s">
        <v>145</v>
      </c>
      <c r="C9" s="5" t="s">
        <v>146</v>
      </c>
      <c r="D9" s="12" t="s">
        <v>147</v>
      </c>
      <c r="E9" s="5" t="s">
        <v>148</v>
      </c>
      <c r="F9" s="12" t="s">
        <v>149</v>
      </c>
      <c r="G9" s="58"/>
      <c r="H9" s="26" t="s">
        <v>42</v>
      </c>
      <c r="I9" s="27" t="s">
        <v>43</v>
      </c>
      <c r="J9" s="22"/>
      <c r="K9" s="22"/>
      <c r="L9" s="22"/>
    </row>
    <row r="10" spans="1:12" ht="97.5" customHeight="1" thickBot="1" x14ac:dyDescent="0.3">
      <c r="A10" s="6" t="s">
        <v>2</v>
      </c>
      <c r="B10" s="93"/>
      <c r="C10" s="100" t="s">
        <v>150</v>
      </c>
      <c r="D10" s="98" t="s">
        <v>151</v>
      </c>
      <c r="E10" s="58"/>
      <c r="F10" s="97" t="s">
        <v>152</v>
      </c>
      <c r="G10" s="58"/>
      <c r="H10" s="210" t="s">
        <v>44</v>
      </c>
      <c r="I10" s="211"/>
      <c r="J10" s="22"/>
      <c r="K10" s="22"/>
      <c r="L10" s="22"/>
    </row>
    <row r="11" spans="1:12" ht="15.75" thickBot="1" x14ac:dyDescent="0.3">
      <c r="A11" s="1" t="s">
        <v>5</v>
      </c>
      <c r="B11" s="28">
        <v>43640</v>
      </c>
      <c r="C11" s="2">
        <v>43641</v>
      </c>
      <c r="D11" s="2">
        <v>43642</v>
      </c>
      <c r="E11" s="2">
        <v>43643</v>
      </c>
      <c r="F11" s="2">
        <v>43644</v>
      </c>
      <c r="G11" s="2">
        <v>43645</v>
      </c>
      <c r="H11" s="207" t="s">
        <v>45</v>
      </c>
      <c r="I11" s="208"/>
      <c r="J11" s="22"/>
      <c r="K11" s="22"/>
      <c r="L11" s="22"/>
    </row>
    <row r="12" spans="1:12" ht="185.25" customHeight="1" thickBot="1" x14ac:dyDescent="0.3">
      <c r="A12" s="3" t="s">
        <v>6</v>
      </c>
      <c r="B12" s="67" t="s">
        <v>154</v>
      </c>
      <c r="C12" s="5" t="s">
        <v>155</v>
      </c>
      <c r="D12" s="15" t="s">
        <v>156</v>
      </c>
      <c r="E12" s="5" t="s">
        <v>157</v>
      </c>
      <c r="F12" s="5" t="s">
        <v>158</v>
      </c>
      <c r="G12" s="58"/>
      <c r="H12" s="207"/>
      <c r="I12" s="208"/>
      <c r="J12" s="51" t="s">
        <v>68</v>
      </c>
      <c r="K12" s="22"/>
      <c r="L12" s="22"/>
    </row>
    <row r="13" spans="1:12" ht="129" customHeight="1" thickBot="1" x14ac:dyDescent="0.3">
      <c r="A13" s="82" t="s">
        <v>2</v>
      </c>
      <c r="B13" s="93"/>
      <c r="C13" s="100" t="s">
        <v>159</v>
      </c>
      <c r="D13" s="100" t="s">
        <v>160</v>
      </c>
      <c r="E13" s="100" t="s">
        <v>161</v>
      </c>
      <c r="F13" s="97" t="s">
        <v>162</v>
      </c>
      <c r="G13" s="58"/>
      <c r="H13" s="229" t="s">
        <v>46</v>
      </c>
      <c r="I13" s="230"/>
      <c r="J13" s="22"/>
      <c r="K13" s="22"/>
      <c r="L13" s="22"/>
    </row>
    <row r="14" spans="1:12" x14ac:dyDescent="0.25">
      <c r="A14" s="83"/>
      <c r="B14" s="84"/>
      <c r="C14" s="84"/>
      <c r="D14" s="84"/>
      <c r="E14" s="84"/>
      <c r="F14" s="84"/>
      <c r="G14" s="84"/>
      <c r="H14" s="212" t="s">
        <v>47</v>
      </c>
      <c r="I14" s="212"/>
      <c r="J14" s="22"/>
      <c r="K14" s="22"/>
      <c r="L14" s="22"/>
    </row>
    <row r="15" spans="1:12" x14ac:dyDescent="0.25">
      <c r="A15" s="85"/>
      <c r="B15" s="86"/>
      <c r="C15" s="87"/>
      <c r="D15" s="88"/>
      <c r="E15" s="89"/>
      <c r="F15" s="87"/>
      <c r="G15" s="90"/>
      <c r="H15" s="209" t="s">
        <v>48</v>
      </c>
      <c r="I15" s="209"/>
      <c r="J15" s="22"/>
      <c r="K15" s="22"/>
      <c r="L15" s="22"/>
    </row>
    <row r="16" spans="1:12" x14ac:dyDescent="0.25">
      <c r="A16" s="85"/>
      <c r="B16" s="86"/>
      <c r="C16" s="95"/>
      <c r="D16" s="90"/>
      <c r="E16" s="95"/>
      <c r="F16" s="90"/>
      <c r="G16" s="90"/>
      <c r="H16" s="209"/>
      <c r="I16" s="209"/>
      <c r="J16" s="22"/>
      <c r="K16" s="22"/>
      <c r="L16" s="22"/>
    </row>
    <row r="17" spans="1:12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</sheetData>
  <mergeCells count="12">
    <mergeCell ref="H15:I16"/>
    <mergeCell ref="H2:I2"/>
    <mergeCell ref="H3:I3"/>
    <mergeCell ref="H4:I4"/>
    <mergeCell ref="H5:I5"/>
    <mergeCell ref="H6:I6"/>
    <mergeCell ref="H7:I7"/>
    <mergeCell ref="H8:I8"/>
    <mergeCell ref="H10:I10"/>
    <mergeCell ref="H11:I12"/>
    <mergeCell ref="H13:I13"/>
    <mergeCell ref="H14:I1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6133-A500-482E-9D95-9BE7841E84A5}">
  <dimension ref="A1:L42"/>
  <sheetViews>
    <sheetView topLeftCell="A4" workbookViewId="0">
      <selection sqref="A1:XFD1048576"/>
    </sheetView>
  </sheetViews>
  <sheetFormatPr defaultRowHeight="15" x14ac:dyDescent="0.25"/>
  <cols>
    <col min="1" max="1" width="9.140625" style="91"/>
    <col min="2" max="2" width="30.42578125" style="91" customWidth="1"/>
    <col min="3" max="3" width="35.5703125" style="91" customWidth="1"/>
    <col min="4" max="4" width="57.42578125" style="91" bestFit="1" customWidth="1"/>
    <col min="5" max="5" width="46.28515625" style="91" bestFit="1" customWidth="1"/>
    <col min="6" max="6" width="40.85546875" style="91" bestFit="1" customWidth="1"/>
    <col min="7" max="7" width="44.28515625" style="91" customWidth="1"/>
    <col min="8" max="8" width="36.140625" style="91" customWidth="1"/>
    <col min="9" max="9" width="16" style="91" customWidth="1"/>
    <col min="10" max="16384" width="9.140625" style="91"/>
  </cols>
  <sheetData>
    <row r="1" spans="1:12" ht="15.75" thickBot="1" x14ac:dyDescent="0.3">
      <c r="A1" s="22"/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/>
      <c r="I1" s="22"/>
      <c r="J1" s="22"/>
      <c r="K1" s="22"/>
      <c r="L1" s="22"/>
    </row>
    <row r="2" spans="1:12" ht="15.75" thickBot="1" x14ac:dyDescent="0.3">
      <c r="A2" s="61"/>
      <c r="B2" s="28">
        <v>43647</v>
      </c>
      <c r="C2" s="2">
        <v>43648</v>
      </c>
      <c r="D2" s="2">
        <v>43649</v>
      </c>
      <c r="E2" s="2">
        <v>43650</v>
      </c>
      <c r="F2" s="2">
        <v>43651</v>
      </c>
      <c r="G2" s="2">
        <v>43652</v>
      </c>
      <c r="H2" s="143"/>
      <c r="I2" s="131"/>
      <c r="J2" s="144"/>
      <c r="K2" s="22"/>
      <c r="L2" s="22"/>
    </row>
    <row r="3" spans="1:12" ht="245.25" customHeight="1" thickBot="1" x14ac:dyDescent="0.3">
      <c r="A3" s="3" t="s">
        <v>6</v>
      </c>
      <c r="B3" s="67" t="s">
        <v>163</v>
      </c>
      <c r="C3" s="12" t="s">
        <v>102</v>
      </c>
      <c r="D3" s="12" t="s">
        <v>164</v>
      </c>
      <c r="E3" s="105" t="s">
        <v>165</v>
      </c>
      <c r="F3" s="106" t="s">
        <v>166</v>
      </c>
      <c r="G3" s="58"/>
      <c r="H3" s="94" t="s">
        <v>173</v>
      </c>
      <c r="I3" s="110" t="s">
        <v>174</v>
      </c>
      <c r="J3" s="22"/>
      <c r="K3" s="22"/>
      <c r="L3" s="22"/>
    </row>
    <row r="4" spans="1:12" ht="69.75" customHeight="1" thickBot="1" x14ac:dyDescent="0.25">
      <c r="A4" s="6" t="s">
        <v>2</v>
      </c>
      <c r="B4" s="107" t="s">
        <v>167</v>
      </c>
      <c r="C4" s="108"/>
      <c r="D4" s="59"/>
      <c r="E4" s="105" t="s">
        <v>165</v>
      </c>
      <c r="F4" s="106" t="s">
        <v>166</v>
      </c>
      <c r="G4" s="58"/>
      <c r="H4" s="111" t="s">
        <v>175</v>
      </c>
      <c r="I4" s="112" t="s">
        <v>69</v>
      </c>
      <c r="J4" s="22"/>
      <c r="K4" s="22"/>
      <c r="L4" s="22"/>
    </row>
    <row r="5" spans="1:12" ht="15.75" customHeight="1" thickBot="1" x14ac:dyDescent="0.3">
      <c r="A5" s="1" t="s">
        <v>5</v>
      </c>
      <c r="B5" s="28">
        <v>43654</v>
      </c>
      <c r="C5" s="2">
        <v>43655</v>
      </c>
      <c r="D5" s="2">
        <v>43656</v>
      </c>
      <c r="E5" s="2">
        <v>43657</v>
      </c>
      <c r="F5" s="2">
        <v>43658</v>
      </c>
      <c r="G5" s="2">
        <v>43659</v>
      </c>
      <c r="H5" s="113" t="s">
        <v>176</v>
      </c>
      <c r="I5" s="114" t="s">
        <v>177</v>
      </c>
      <c r="J5" s="22"/>
      <c r="K5" s="22"/>
      <c r="L5" s="22"/>
    </row>
    <row r="6" spans="1:12" ht="255.75" thickBot="1" x14ac:dyDescent="0.3">
      <c r="A6" s="3" t="s">
        <v>6</v>
      </c>
      <c r="B6" s="109" t="s">
        <v>168</v>
      </c>
      <c r="C6" s="12" t="s">
        <v>169</v>
      </c>
      <c r="D6" s="15" t="s">
        <v>183</v>
      </c>
      <c r="E6" s="15" t="s">
        <v>184</v>
      </c>
      <c r="F6" s="12" t="s">
        <v>185</v>
      </c>
      <c r="G6" s="58"/>
      <c r="H6" s="115"/>
      <c r="I6" s="116" t="s">
        <v>178</v>
      </c>
      <c r="J6" s="22"/>
      <c r="K6" s="22"/>
      <c r="L6" s="22"/>
    </row>
    <row r="7" spans="1:12" ht="102.75" thickBot="1" x14ac:dyDescent="0.25">
      <c r="A7" s="6" t="s">
        <v>2</v>
      </c>
      <c r="B7" s="136" t="s">
        <v>186</v>
      </c>
      <c r="C7" s="59"/>
      <c r="D7" s="137" t="s">
        <v>170</v>
      </c>
      <c r="E7" s="138" t="s">
        <v>171</v>
      </c>
      <c r="F7" s="59"/>
      <c r="G7" s="58"/>
      <c r="H7" s="130"/>
      <c r="I7" s="131"/>
      <c r="J7" s="22"/>
      <c r="K7" s="22"/>
      <c r="L7" s="22"/>
    </row>
    <row r="8" spans="1:12" ht="15.75" thickBot="1" x14ac:dyDescent="0.3">
      <c r="A8" s="1" t="s">
        <v>5</v>
      </c>
      <c r="B8" s="28">
        <v>43661</v>
      </c>
      <c r="C8" s="2">
        <v>43662</v>
      </c>
      <c r="D8" s="2">
        <v>43663</v>
      </c>
      <c r="E8" s="2">
        <v>43664</v>
      </c>
      <c r="F8" s="2">
        <v>43665</v>
      </c>
      <c r="G8" s="2">
        <v>43666</v>
      </c>
      <c r="H8" s="117"/>
      <c r="I8" s="118"/>
      <c r="J8" s="22"/>
      <c r="K8" s="22"/>
      <c r="L8" s="22"/>
    </row>
    <row r="9" spans="1:12" ht="192" thickBot="1" x14ac:dyDescent="0.3">
      <c r="A9" s="3" t="s">
        <v>6</v>
      </c>
      <c r="B9" s="67" t="s">
        <v>187</v>
      </c>
      <c r="C9" s="12" t="s">
        <v>188</v>
      </c>
      <c r="D9" s="12" t="s">
        <v>189</v>
      </c>
      <c r="E9" s="12" t="s">
        <v>190</v>
      </c>
      <c r="F9" s="12" t="s">
        <v>191</v>
      </c>
      <c r="G9" s="58"/>
      <c r="H9" s="117" t="s">
        <v>37</v>
      </c>
      <c r="I9" s="118" t="s">
        <v>36</v>
      </c>
      <c r="J9" s="22"/>
      <c r="K9" s="22"/>
      <c r="L9" s="22"/>
    </row>
    <row r="10" spans="1:12" ht="97.5" customHeight="1" thickBot="1" x14ac:dyDescent="0.3">
      <c r="A10" s="6" t="s">
        <v>2</v>
      </c>
      <c r="B10" s="139" t="s">
        <v>192</v>
      </c>
      <c r="C10" s="8" t="s">
        <v>193</v>
      </c>
      <c r="D10" s="12" t="s">
        <v>194</v>
      </c>
      <c r="E10" s="8" t="s">
        <v>195</v>
      </c>
      <c r="F10" s="58"/>
      <c r="G10" s="58"/>
      <c r="H10" s="102" t="s">
        <v>38</v>
      </c>
      <c r="I10" s="119"/>
      <c r="J10" s="22"/>
      <c r="K10" s="22"/>
      <c r="L10" s="22"/>
    </row>
    <row r="11" spans="1:12" ht="22.5" customHeight="1" thickBot="1" x14ac:dyDescent="0.25">
      <c r="A11" s="1" t="s">
        <v>5</v>
      </c>
      <c r="B11" s="28">
        <v>43668</v>
      </c>
      <c r="C11" s="2">
        <v>43669</v>
      </c>
      <c r="D11" s="2">
        <v>43670</v>
      </c>
      <c r="E11" s="2">
        <v>43671</v>
      </c>
      <c r="F11" s="2">
        <v>43672</v>
      </c>
      <c r="G11" s="2">
        <v>43673</v>
      </c>
      <c r="H11" s="103" t="s">
        <v>179</v>
      </c>
      <c r="I11" s="120" t="s">
        <v>180</v>
      </c>
      <c r="J11" s="22"/>
      <c r="K11" s="22"/>
      <c r="L11" s="22"/>
    </row>
    <row r="12" spans="1:12" ht="185.25" customHeight="1" thickBot="1" x14ac:dyDescent="0.3">
      <c r="A12" s="3" t="s">
        <v>6</v>
      </c>
      <c r="B12" s="67" t="s">
        <v>196</v>
      </c>
      <c r="C12" s="12" t="s">
        <v>197</v>
      </c>
      <c r="D12" s="15" t="s">
        <v>198</v>
      </c>
      <c r="E12" s="13" t="s">
        <v>199</v>
      </c>
      <c r="F12" s="58"/>
      <c r="G12" s="58"/>
      <c r="H12" s="140" t="s">
        <v>202</v>
      </c>
      <c r="I12" s="121"/>
      <c r="J12" s="51" t="s">
        <v>68</v>
      </c>
      <c r="K12" s="22"/>
      <c r="L12" s="22"/>
    </row>
    <row r="13" spans="1:12" ht="129" customHeight="1" thickBot="1" x14ac:dyDescent="0.3">
      <c r="A13" s="82" t="s">
        <v>2</v>
      </c>
      <c r="B13" s="92" t="s">
        <v>200</v>
      </c>
      <c r="C13" s="12" t="s">
        <v>127</v>
      </c>
      <c r="D13" s="58"/>
      <c r="E13" s="100" t="s">
        <v>201</v>
      </c>
      <c r="F13" s="12" t="s">
        <v>172</v>
      </c>
      <c r="G13" s="58"/>
      <c r="H13" s="101" t="s">
        <v>41</v>
      </c>
      <c r="I13" s="122"/>
      <c r="J13" s="22"/>
      <c r="K13" s="22"/>
      <c r="L13" s="22"/>
    </row>
    <row r="14" spans="1:12" ht="15.75" thickBot="1" x14ac:dyDescent="0.3">
      <c r="A14" s="1" t="s">
        <v>5</v>
      </c>
      <c r="B14" s="28">
        <v>43675</v>
      </c>
      <c r="C14" s="2">
        <v>43676</v>
      </c>
      <c r="D14" s="2">
        <v>43677</v>
      </c>
      <c r="E14" s="2"/>
      <c r="F14" s="2"/>
      <c r="G14" s="2"/>
      <c r="H14" s="123"/>
      <c r="I14" s="27" t="s">
        <v>43</v>
      </c>
      <c r="J14" s="22"/>
      <c r="K14" s="22"/>
      <c r="L14" s="22"/>
    </row>
    <row r="15" spans="1:12" ht="268.5" thickBot="1" x14ac:dyDescent="0.3">
      <c r="A15" s="3" t="s">
        <v>6</v>
      </c>
      <c r="B15" s="141" t="s">
        <v>203</v>
      </c>
      <c r="C15" s="12" t="s">
        <v>204</v>
      </c>
      <c r="D15" s="15" t="s">
        <v>205</v>
      </c>
      <c r="E15" s="8"/>
      <c r="F15" s="15"/>
      <c r="G15" s="58"/>
      <c r="H15" s="26"/>
      <c r="I15" s="27"/>
      <c r="J15" s="22"/>
      <c r="K15" s="22"/>
      <c r="L15" s="22"/>
    </row>
    <row r="16" spans="1:12" ht="64.5" customHeight="1" thickBot="1" x14ac:dyDescent="0.3">
      <c r="A16" s="6" t="s">
        <v>2</v>
      </c>
      <c r="B16" s="142" t="s">
        <v>206</v>
      </c>
      <c r="C16" s="13" t="s">
        <v>207</v>
      </c>
      <c r="D16" s="58"/>
      <c r="E16" s="58"/>
      <c r="F16" s="15"/>
      <c r="G16" s="58"/>
      <c r="H16" s="104" t="s">
        <v>44</v>
      </c>
      <c r="I16" s="124"/>
      <c r="J16" s="22"/>
      <c r="K16" s="22"/>
      <c r="L16" s="22"/>
    </row>
    <row r="17" spans="1:12" ht="25.5" x14ac:dyDescent="0.25">
      <c r="A17" s="22"/>
      <c r="B17" s="22"/>
      <c r="C17" s="22"/>
      <c r="D17" s="22"/>
      <c r="E17" s="22"/>
      <c r="F17" s="22"/>
      <c r="G17" s="22"/>
      <c r="H17" s="125"/>
      <c r="I17" s="126" t="s">
        <v>181</v>
      </c>
      <c r="J17" s="22"/>
      <c r="K17" s="22"/>
      <c r="L17" s="22"/>
    </row>
    <row r="18" spans="1:12" x14ac:dyDescent="0.25">
      <c r="A18" s="22"/>
      <c r="B18" s="22"/>
      <c r="C18" s="22"/>
      <c r="D18" s="22"/>
      <c r="E18" s="22"/>
      <c r="F18" s="22"/>
      <c r="G18" s="22"/>
      <c r="H18" s="127"/>
      <c r="I18" s="128"/>
      <c r="J18" s="22"/>
      <c r="K18" s="22"/>
      <c r="L18" s="22"/>
    </row>
    <row r="19" spans="1:12" x14ac:dyDescent="0.25">
      <c r="A19" s="22"/>
      <c r="B19" s="22"/>
      <c r="C19" s="22"/>
      <c r="D19" s="22"/>
      <c r="E19" s="22"/>
      <c r="F19" s="22"/>
      <c r="G19" s="22"/>
      <c r="H19" s="129" t="s">
        <v>46</v>
      </c>
      <c r="I19" s="118" t="s">
        <v>182</v>
      </c>
      <c r="J19" s="22"/>
      <c r="K19" s="22"/>
      <c r="L19" s="22"/>
    </row>
    <row r="20" spans="1:12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555C-BA08-4C47-8064-8C8C84E90BFB}">
  <dimension ref="A1:L42"/>
  <sheetViews>
    <sheetView topLeftCell="A10" zoomScale="70" zoomScaleNormal="70" workbookViewId="0">
      <selection activeCell="F13" sqref="F13"/>
    </sheetView>
  </sheetViews>
  <sheetFormatPr defaultRowHeight="15" x14ac:dyDescent="0.25"/>
  <cols>
    <col min="1" max="1" width="9.140625" style="91"/>
    <col min="2" max="2" width="30.42578125" style="91" customWidth="1"/>
    <col min="3" max="3" width="35.5703125" style="91" customWidth="1"/>
    <col min="4" max="4" width="34.140625" style="91" customWidth="1"/>
    <col min="5" max="5" width="46.28515625" style="91" bestFit="1" customWidth="1"/>
    <col min="6" max="6" width="44.7109375" style="91" bestFit="1" customWidth="1"/>
    <col min="7" max="7" width="44.28515625" style="91" customWidth="1"/>
    <col min="8" max="8" width="36.140625" style="91" customWidth="1"/>
    <col min="9" max="9" width="16" style="91" customWidth="1"/>
    <col min="10" max="16384" width="9.140625" style="91"/>
  </cols>
  <sheetData>
    <row r="1" spans="1:12" ht="15.75" thickBot="1" x14ac:dyDescent="0.3">
      <c r="A1" s="22"/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/>
      <c r="I1" s="22"/>
      <c r="J1" s="22"/>
      <c r="K1" s="22"/>
      <c r="L1" s="22"/>
    </row>
    <row r="2" spans="1:12" ht="15.75" thickBot="1" x14ac:dyDescent="0.3">
      <c r="A2" s="61"/>
      <c r="B2" s="28"/>
      <c r="C2" s="2"/>
      <c r="D2" s="2"/>
      <c r="E2" s="2">
        <v>43678</v>
      </c>
      <c r="F2" s="2">
        <f>E2+1</f>
        <v>43679</v>
      </c>
      <c r="G2" s="2">
        <f>F2+1</f>
        <v>43680</v>
      </c>
      <c r="H2" s="143"/>
      <c r="I2" s="131"/>
      <c r="J2" s="144"/>
      <c r="K2" s="22"/>
      <c r="L2" s="22"/>
    </row>
    <row r="3" spans="1:12" ht="245.25" customHeight="1" thickBot="1" x14ac:dyDescent="0.3">
      <c r="A3" s="3" t="s">
        <v>6</v>
      </c>
      <c r="B3" s="149"/>
      <c r="C3" s="31"/>
      <c r="D3" s="31"/>
      <c r="E3" s="155" t="s">
        <v>208</v>
      </c>
      <c r="F3" s="48" t="s">
        <v>209</v>
      </c>
      <c r="G3" s="152"/>
      <c r="H3" s="94" t="s">
        <v>173</v>
      </c>
      <c r="I3" s="110" t="s">
        <v>174</v>
      </c>
      <c r="J3" s="22"/>
      <c r="K3" s="22"/>
      <c r="L3" s="22"/>
    </row>
    <row r="4" spans="1:12" ht="69.75" customHeight="1" thickBot="1" x14ac:dyDescent="0.25">
      <c r="A4" s="6" t="s">
        <v>2</v>
      </c>
      <c r="B4" s="150"/>
      <c r="C4" s="151"/>
      <c r="D4" s="65"/>
      <c r="E4" s="153"/>
      <c r="F4" s="154"/>
      <c r="G4" s="58"/>
      <c r="H4" s="111" t="s">
        <v>175</v>
      </c>
      <c r="I4" s="112" t="s">
        <v>69</v>
      </c>
      <c r="J4" s="22"/>
      <c r="K4" s="22"/>
      <c r="L4" s="22"/>
    </row>
    <row r="5" spans="1:12" ht="15.75" customHeight="1" thickBot="1" x14ac:dyDescent="0.3">
      <c r="A5" s="1" t="s">
        <v>5</v>
      </c>
      <c r="B5" s="28">
        <f>G2+2</f>
        <v>43682</v>
      </c>
      <c r="C5" s="2">
        <f t="shared" ref="C5:G5" si="0">B5+1</f>
        <v>43683</v>
      </c>
      <c r="D5" s="2">
        <f t="shared" si="0"/>
        <v>43684</v>
      </c>
      <c r="E5" s="2">
        <f t="shared" si="0"/>
        <v>43685</v>
      </c>
      <c r="F5" s="2">
        <f t="shared" si="0"/>
        <v>43686</v>
      </c>
      <c r="G5" s="2">
        <f t="shared" si="0"/>
        <v>43687</v>
      </c>
      <c r="H5" s="113" t="s">
        <v>176</v>
      </c>
      <c r="I5" s="114" t="s">
        <v>177</v>
      </c>
      <c r="J5" s="22"/>
      <c r="K5" s="22"/>
      <c r="L5" s="22"/>
    </row>
    <row r="6" spans="1:12" ht="179.25" thickBot="1" x14ac:dyDescent="0.3">
      <c r="A6" s="3" t="s">
        <v>6</v>
      </c>
      <c r="B6" s="156" t="s">
        <v>210</v>
      </c>
      <c r="C6" s="40"/>
      <c r="D6" s="48" t="s">
        <v>211</v>
      </c>
      <c r="E6" s="48" t="s">
        <v>212</v>
      </c>
      <c r="F6" s="40" t="s">
        <v>213</v>
      </c>
      <c r="G6" s="58"/>
      <c r="H6" s="115"/>
      <c r="I6" s="116" t="s">
        <v>178</v>
      </c>
      <c r="J6" s="22"/>
      <c r="K6" s="22"/>
      <c r="L6" s="22"/>
    </row>
    <row r="7" spans="1:12" ht="49.5" customHeight="1" thickBot="1" x14ac:dyDescent="0.3">
      <c r="A7" s="6" t="s">
        <v>2</v>
      </c>
      <c r="B7" s="47"/>
      <c r="C7" s="20"/>
      <c r="D7" s="20"/>
      <c r="E7" s="12" t="s">
        <v>214</v>
      </c>
      <c r="F7" s="157" t="s">
        <v>215</v>
      </c>
      <c r="G7" s="58"/>
      <c r="H7" s="130"/>
      <c r="I7" s="131"/>
      <c r="J7" s="22"/>
      <c r="K7" s="22"/>
      <c r="L7" s="22"/>
    </row>
    <row r="8" spans="1:12" ht="15.75" thickBot="1" x14ac:dyDescent="0.3">
      <c r="A8" s="1" t="s">
        <v>5</v>
      </c>
      <c r="B8" s="28">
        <f>G5+2</f>
        <v>43689</v>
      </c>
      <c r="C8" s="2">
        <f t="shared" ref="C8:G8" si="1">B8+1</f>
        <v>43690</v>
      </c>
      <c r="D8" s="2">
        <f t="shared" si="1"/>
        <v>43691</v>
      </c>
      <c r="E8" s="2">
        <f t="shared" si="1"/>
        <v>43692</v>
      </c>
      <c r="F8" s="2">
        <f t="shared" si="1"/>
        <v>43693</v>
      </c>
      <c r="G8" s="2">
        <f t="shared" si="1"/>
        <v>43694</v>
      </c>
      <c r="H8" s="117"/>
      <c r="I8" s="118"/>
      <c r="J8" s="22"/>
      <c r="K8" s="22"/>
      <c r="L8" s="22"/>
    </row>
    <row r="9" spans="1:12" ht="179.25" thickBot="1" x14ac:dyDescent="0.25">
      <c r="A9" s="3" t="s">
        <v>6</v>
      </c>
      <c r="B9" s="159" t="s">
        <v>216</v>
      </c>
      <c r="C9" s="158" t="s">
        <v>217</v>
      </c>
      <c r="D9" s="160" t="s">
        <v>218</v>
      </c>
      <c r="E9" s="49" t="s">
        <v>219</v>
      </c>
      <c r="F9" s="40" t="s">
        <v>220</v>
      </c>
      <c r="G9" s="58"/>
      <c r="H9" s="117" t="s">
        <v>37</v>
      </c>
      <c r="I9" s="118" t="s">
        <v>36</v>
      </c>
      <c r="J9" s="22"/>
      <c r="K9" s="22"/>
      <c r="L9" s="22"/>
    </row>
    <row r="10" spans="1:12" ht="97.5" customHeight="1" thickBot="1" x14ac:dyDescent="0.3">
      <c r="A10" s="6" t="s">
        <v>2</v>
      </c>
      <c r="B10" s="47"/>
      <c r="C10" s="100" t="s">
        <v>221</v>
      </c>
      <c r="D10" s="20"/>
      <c r="E10" s="20"/>
      <c r="F10" s="12" t="s">
        <v>222</v>
      </c>
      <c r="G10" s="58"/>
      <c r="H10" s="133" t="s">
        <v>38</v>
      </c>
      <c r="I10" s="119"/>
      <c r="J10" s="22"/>
      <c r="K10" s="22"/>
      <c r="L10" s="22"/>
    </row>
    <row r="11" spans="1:12" ht="22.5" customHeight="1" thickBot="1" x14ac:dyDescent="0.25">
      <c r="A11" s="1" t="s">
        <v>5</v>
      </c>
      <c r="B11" s="28">
        <v>43696</v>
      </c>
      <c r="C11" s="2">
        <v>43697</v>
      </c>
      <c r="D11" s="2">
        <v>43698</v>
      </c>
      <c r="E11" s="2">
        <v>43699</v>
      </c>
      <c r="F11" s="2">
        <v>43700</v>
      </c>
      <c r="G11" s="2">
        <v>43701</v>
      </c>
      <c r="H11" s="134" t="s">
        <v>179</v>
      </c>
      <c r="I11" s="120" t="s">
        <v>180</v>
      </c>
      <c r="J11" s="22"/>
      <c r="K11" s="22"/>
      <c r="L11" s="22"/>
    </row>
    <row r="12" spans="1:12" ht="185.25" customHeight="1" thickBot="1" x14ac:dyDescent="0.25">
      <c r="A12" s="3" t="s">
        <v>6</v>
      </c>
      <c r="B12" s="161" t="s">
        <v>223</v>
      </c>
      <c r="C12" s="15" t="s">
        <v>224</v>
      </c>
      <c r="D12" s="15" t="s">
        <v>226</v>
      </c>
      <c r="E12" s="15" t="s">
        <v>227</v>
      </c>
      <c r="F12" s="13" t="s">
        <v>225</v>
      </c>
      <c r="G12" s="58"/>
      <c r="H12" s="140" t="s">
        <v>202</v>
      </c>
      <c r="I12" s="121"/>
      <c r="J12" s="51" t="s">
        <v>68</v>
      </c>
      <c r="K12" s="22"/>
      <c r="L12" s="22"/>
    </row>
    <row r="13" spans="1:12" ht="129" customHeight="1" thickBot="1" x14ac:dyDescent="0.25">
      <c r="A13" s="82" t="s">
        <v>2</v>
      </c>
      <c r="B13" s="162" t="s">
        <v>228</v>
      </c>
      <c r="C13" s="58"/>
      <c r="D13" s="59"/>
      <c r="E13" s="58"/>
      <c r="F13" s="58"/>
      <c r="G13" s="97" t="s">
        <v>229</v>
      </c>
      <c r="H13" s="132" t="s">
        <v>41</v>
      </c>
      <c r="I13" s="122"/>
      <c r="J13" s="22"/>
      <c r="K13" s="22"/>
      <c r="L13" s="22"/>
    </row>
    <row r="14" spans="1:12" ht="15.75" thickBot="1" x14ac:dyDescent="0.3">
      <c r="A14" s="1" t="s">
        <v>5</v>
      </c>
      <c r="B14" s="28">
        <v>43703</v>
      </c>
      <c r="C14" s="2">
        <v>43704</v>
      </c>
      <c r="D14" s="2">
        <v>43705</v>
      </c>
      <c r="E14" s="2">
        <v>43706</v>
      </c>
      <c r="F14" s="2">
        <v>43707</v>
      </c>
      <c r="G14" s="2">
        <v>43708</v>
      </c>
      <c r="H14" s="123"/>
      <c r="I14" s="27" t="s">
        <v>43</v>
      </c>
      <c r="J14" s="22"/>
      <c r="K14" s="22"/>
      <c r="L14" s="22"/>
    </row>
    <row r="15" spans="1:12" ht="230.25" thickBot="1" x14ac:dyDescent="0.25">
      <c r="A15" s="3" t="s">
        <v>6</v>
      </c>
      <c r="B15" s="136" t="s">
        <v>230</v>
      </c>
      <c r="C15" s="12" t="s">
        <v>231</v>
      </c>
      <c r="D15" s="12" t="s">
        <v>232</v>
      </c>
      <c r="E15" s="12" t="s">
        <v>233</v>
      </c>
      <c r="F15" s="12" t="s">
        <v>234</v>
      </c>
      <c r="G15" s="58"/>
      <c r="H15" s="26"/>
      <c r="I15" s="27"/>
      <c r="J15" s="22"/>
      <c r="K15" s="22"/>
      <c r="L15" s="22"/>
    </row>
    <row r="16" spans="1:12" ht="64.5" customHeight="1" thickBot="1" x14ac:dyDescent="0.25">
      <c r="A16" s="6" t="s">
        <v>2</v>
      </c>
      <c r="B16" s="93"/>
      <c r="C16" s="58"/>
      <c r="D16" s="108" t="s">
        <v>235</v>
      </c>
      <c r="E16" s="58"/>
      <c r="F16" s="163"/>
      <c r="G16" s="163"/>
      <c r="H16" s="135" t="s">
        <v>44</v>
      </c>
      <c r="I16" s="124"/>
      <c r="J16" s="22"/>
      <c r="K16" s="22"/>
      <c r="L16" s="22"/>
    </row>
    <row r="17" spans="1:12" ht="25.5" x14ac:dyDescent="0.25">
      <c r="A17" s="22"/>
      <c r="B17" s="22"/>
      <c r="C17" s="22"/>
      <c r="D17" s="22"/>
      <c r="E17" s="22"/>
      <c r="F17" s="22"/>
      <c r="G17" s="22"/>
      <c r="H17" s="125"/>
      <c r="I17" s="126" t="s">
        <v>181</v>
      </c>
      <c r="J17" s="22"/>
      <c r="K17" s="22"/>
      <c r="L17" s="22"/>
    </row>
    <row r="18" spans="1:12" x14ac:dyDescent="0.25">
      <c r="A18" s="22"/>
      <c r="B18" s="22"/>
      <c r="C18" s="22"/>
      <c r="D18" s="22"/>
      <c r="E18" s="22"/>
      <c r="F18" s="22"/>
      <c r="G18" s="22"/>
      <c r="H18" s="127"/>
      <c r="I18" s="128"/>
      <c r="J18" s="22"/>
      <c r="K18" s="22"/>
      <c r="L18" s="22"/>
    </row>
    <row r="19" spans="1:12" x14ac:dyDescent="0.25">
      <c r="A19" s="22"/>
      <c r="B19" s="22"/>
      <c r="C19" s="22"/>
      <c r="D19" s="22"/>
      <c r="E19" s="22"/>
      <c r="F19" s="22"/>
      <c r="G19" s="22"/>
      <c r="H19" s="129" t="s">
        <v>46</v>
      </c>
      <c r="I19" s="118" t="s">
        <v>182</v>
      </c>
      <c r="J19" s="22"/>
      <c r="K19" s="22"/>
      <c r="L19" s="22"/>
    </row>
    <row r="20" spans="1:12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3E69-D9CE-41F4-909B-1662CAE6AAD2}">
  <dimension ref="A1:L42"/>
  <sheetViews>
    <sheetView topLeftCell="A10" zoomScale="70" zoomScaleNormal="70" workbookViewId="0">
      <selection activeCell="F23" sqref="F23"/>
    </sheetView>
  </sheetViews>
  <sheetFormatPr defaultRowHeight="15" x14ac:dyDescent="0.25"/>
  <cols>
    <col min="1" max="1" width="9.140625" style="91"/>
    <col min="2" max="2" width="30.42578125" style="91" customWidth="1"/>
    <col min="3" max="3" width="35.5703125" style="91" customWidth="1"/>
    <col min="4" max="4" width="34.140625" style="91" customWidth="1"/>
    <col min="5" max="5" width="46.28515625" style="91" bestFit="1" customWidth="1"/>
    <col min="6" max="6" width="44.7109375" style="91" bestFit="1" customWidth="1"/>
    <col min="7" max="7" width="44.28515625" style="91" customWidth="1"/>
    <col min="8" max="8" width="36.140625" style="91" customWidth="1"/>
    <col min="9" max="9" width="16" style="91" customWidth="1"/>
    <col min="10" max="16384" width="9.140625" style="91"/>
  </cols>
  <sheetData>
    <row r="1" spans="1:12" ht="15.75" thickBot="1" x14ac:dyDescent="0.3">
      <c r="A1" s="22"/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/>
      <c r="I1" s="22"/>
      <c r="J1" s="22"/>
      <c r="K1" s="22"/>
      <c r="L1" s="22"/>
    </row>
    <row r="2" spans="1:12" ht="15.75" thickBot="1" x14ac:dyDescent="0.3">
      <c r="A2" s="61"/>
      <c r="B2" s="28">
        <v>43710</v>
      </c>
      <c r="C2" s="2">
        <v>43711</v>
      </c>
      <c r="D2" s="2">
        <v>43712</v>
      </c>
      <c r="E2" s="2">
        <v>43713</v>
      </c>
      <c r="F2" s="2">
        <v>43714</v>
      </c>
      <c r="G2" s="2">
        <v>43715</v>
      </c>
      <c r="H2" s="143"/>
      <c r="I2" s="131"/>
      <c r="J2" s="144"/>
      <c r="K2" s="22"/>
      <c r="L2" s="22"/>
    </row>
    <row r="3" spans="1:12" ht="344.25" customHeight="1" thickBot="1" x14ac:dyDescent="0.25">
      <c r="A3" s="3" t="s">
        <v>6</v>
      </c>
      <c r="B3" s="164" t="s">
        <v>236</v>
      </c>
      <c r="C3" s="165" t="s">
        <v>237</v>
      </c>
      <c r="D3" s="165" t="s">
        <v>238</v>
      </c>
      <c r="E3" s="165" t="s">
        <v>239</v>
      </c>
      <c r="F3" s="40" t="s">
        <v>240</v>
      </c>
      <c r="G3" s="166"/>
      <c r="H3" s="94" t="s">
        <v>173</v>
      </c>
      <c r="I3" s="110" t="s">
        <v>174</v>
      </c>
      <c r="J3" s="22"/>
      <c r="K3" s="22"/>
      <c r="L3" s="22"/>
    </row>
    <row r="4" spans="1:12" ht="52.5" customHeight="1" thickBot="1" x14ac:dyDescent="0.25">
      <c r="A4" s="6" t="s">
        <v>2</v>
      </c>
      <c r="B4" s="141" t="s">
        <v>236</v>
      </c>
      <c r="C4" s="138" t="s">
        <v>241</v>
      </c>
      <c r="D4" s="57" t="s">
        <v>242</v>
      </c>
      <c r="E4" s="57" t="s">
        <v>243</v>
      </c>
      <c r="F4" s="59"/>
      <c r="G4" s="59"/>
      <c r="H4" s="111" t="s">
        <v>175</v>
      </c>
      <c r="I4" s="112" t="s">
        <v>69</v>
      </c>
      <c r="J4" s="22"/>
      <c r="K4" s="22"/>
      <c r="L4" s="22"/>
    </row>
    <row r="5" spans="1:12" ht="15.75" customHeight="1" thickBot="1" x14ac:dyDescent="0.3">
      <c r="A5" s="1" t="s">
        <v>5</v>
      </c>
      <c r="B5" s="28">
        <f>G2+2</f>
        <v>43717</v>
      </c>
      <c r="C5" s="2">
        <f t="shared" ref="C5:G5" si="0">B5+1</f>
        <v>43718</v>
      </c>
      <c r="D5" s="2">
        <f t="shared" si="0"/>
        <v>43719</v>
      </c>
      <c r="E5" s="2">
        <f t="shared" si="0"/>
        <v>43720</v>
      </c>
      <c r="F5" s="2">
        <f t="shared" si="0"/>
        <v>43721</v>
      </c>
      <c r="G5" s="2">
        <f t="shared" si="0"/>
        <v>43722</v>
      </c>
      <c r="H5" s="113" t="s">
        <v>176</v>
      </c>
      <c r="I5" s="114" t="s">
        <v>177</v>
      </c>
      <c r="J5" s="22"/>
      <c r="K5" s="22"/>
      <c r="L5" s="22"/>
    </row>
    <row r="6" spans="1:12" ht="186" customHeight="1" thickBot="1" x14ac:dyDescent="0.25">
      <c r="A6" s="3" t="s">
        <v>6</v>
      </c>
      <c r="B6" s="167" t="s">
        <v>244</v>
      </c>
      <c r="C6" s="48" t="s">
        <v>245</v>
      </c>
      <c r="D6" s="40" t="s">
        <v>246</v>
      </c>
      <c r="E6" s="49" t="s">
        <v>247</v>
      </c>
      <c r="F6" s="18" t="s">
        <v>248</v>
      </c>
      <c r="G6" s="55"/>
      <c r="H6" s="115"/>
      <c r="I6" s="116" t="s">
        <v>178</v>
      </c>
      <c r="J6" s="22"/>
      <c r="K6" s="22"/>
      <c r="L6" s="22"/>
    </row>
    <row r="7" spans="1:12" ht="49.5" customHeight="1" thickBot="1" x14ac:dyDescent="0.25">
      <c r="A7" s="6" t="s">
        <v>2</v>
      </c>
      <c r="B7" s="67" t="s">
        <v>249</v>
      </c>
      <c r="C7" s="58"/>
      <c r="D7" s="59"/>
      <c r="E7" s="168" t="s">
        <v>250</v>
      </c>
      <c r="F7" s="169" t="s">
        <v>251</v>
      </c>
      <c r="G7" s="58"/>
      <c r="H7" s="130"/>
      <c r="I7" s="131"/>
      <c r="J7" s="22"/>
      <c r="K7" s="22"/>
      <c r="L7" s="22"/>
    </row>
    <row r="8" spans="1:12" ht="15.75" thickBot="1" x14ac:dyDescent="0.3">
      <c r="A8" s="1" t="s">
        <v>5</v>
      </c>
      <c r="B8" s="28">
        <f>G5+2</f>
        <v>43724</v>
      </c>
      <c r="C8" s="2">
        <f t="shared" ref="C8:G8" si="1">B8+1</f>
        <v>43725</v>
      </c>
      <c r="D8" s="2">
        <f t="shared" si="1"/>
        <v>43726</v>
      </c>
      <c r="E8" s="2">
        <f t="shared" si="1"/>
        <v>43727</v>
      </c>
      <c r="F8" s="2">
        <f t="shared" si="1"/>
        <v>43728</v>
      </c>
      <c r="G8" s="2">
        <f t="shared" si="1"/>
        <v>43729</v>
      </c>
      <c r="H8" s="117"/>
      <c r="I8" s="118"/>
      <c r="J8" s="22"/>
      <c r="K8" s="22"/>
      <c r="L8" s="22"/>
    </row>
    <row r="9" spans="1:12" ht="345" thickBot="1" x14ac:dyDescent="0.3">
      <c r="A9" s="3" t="s">
        <v>6</v>
      </c>
      <c r="B9" s="156" t="s">
        <v>252</v>
      </c>
      <c r="C9" s="48" t="s">
        <v>253</v>
      </c>
      <c r="D9" s="48" t="s">
        <v>254</v>
      </c>
      <c r="E9" s="49" t="s">
        <v>255</v>
      </c>
      <c r="F9" s="40" t="s">
        <v>256</v>
      </c>
      <c r="G9" s="55"/>
      <c r="H9" s="117" t="s">
        <v>37</v>
      </c>
      <c r="I9" s="118" t="s">
        <v>36</v>
      </c>
      <c r="J9" s="22"/>
      <c r="K9" s="22"/>
      <c r="L9" s="22"/>
    </row>
    <row r="10" spans="1:12" ht="97.5" customHeight="1" thickBot="1" x14ac:dyDescent="0.25">
      <c r="A10" s="6" t="s">
        <v>2</v>
      </c>
      <c r="B10" s="67" t="s">
        <v>257</v>
      </c>
      <c r="C10" s="59"/>
      <c r="D10" s="59"/>
      <c r="E10" s="59"/>
      <c r="F10" s="170" t="s">
        <v>258</v>
      </c>
      <c r="G10" s="58"/>
      <c r="H10" s="147" t="s">
        <v>38</v>
      </c>
      <c r="I10" s="119"/>
      <c r="J10" s="22"/>
      <c r="K10" s="22"/>
      <c r="L10" s="22"/>
    </row>
    <row r="11" spans="1:12" ht="22.5" customHeight="1" thickBot="1" x14ac:dyDescent="0.25">
      <c r="A11" s="1" t="s">
        <v>5</v>
      </c>
      <c r="B11" s="28">
        <v>43731</v>
      </c>
      <c r="C11" s="2">
        <v>43732</v>
      </c>
      <c r="D11" s="2">
        <v>43733</v>
      </c>
      <c r="E11" s="2">
        <v>43734</v>
      </c>
      <c r="F11" s="2">
        <v>43735</v>
      </c>
      <c r="G11" s="2">
        <v>43736</v>
      </c>
      <c r="H11" s="148" t="s">
        <v>179</v>
      </c>
      <c r="I11" s="120" t="s">
        <v>180</v>
      </c>
      <c r="J11" s="22"/>
      <c r="K11" s="22"/>
      <c r="L11" s="22"/>
    </row>
    <row r="12" spans="1:12" ht="299.25" customHeight="1" thickBot="1" x14ac:dyDescent="0.3">
      <c r="A12" s="3" t="s">
        <v>6</v>
      </c>
      <c r="B12" s="156" t="s">
        <v>259</v>
      </c>
      <c r="C12" s="40" t="s">
        <v>260</v>
      </c>
      <c r="D12" s="40" t="s">
        <v>261</v>
      </c>
      <c r="E12" s="40" t="s">
        <v>262</v>
      </c>
      <c r="F12" s="40" t="s">
        <v>263</v>
      </c>
      <c r="G12" s="55"/>
      <c r="H12" s="140" t="s">
        <v>202</v>
      </c>
      <c r="I12" s="121"/>
      <c r="J12" s="51" t="s">
        <v>68</v>
      </c>
      <c r="K12" s="22"/>
      <c r="L12" s="22"/>
    </row>
    <row r="13" spans="1:12" ht="129" customHeight="1" thickBot="1" x14ac:dyDescent="0.25">
      <c r="A13" s="82" t="s">
        <v>2</v>
      </c>
      <c r="B13" s="73"/>
      <c r="C13" s="58"/>
      <c r="D13" s="58"/>
      <c r="E13" s="44"/>
      <c r="F13" s="79" t="s">
        <v>265</v>
      </c>
      <c r="G13" s="171" t="s">
        <v>266</v>
      </c>
      <c r="H13" s="146" t="s">
        <v>41</v>
      </c>
      <c r="I13" s="122"/>
      <c r="J13" s="22"/>
      <c r="K13" s="22"/>
      <c r="L13" s="22"/>
    </row>
    <row r="14" spans="1:12" ht="15.75" thickBot="1" x14ac:dyDescent="0.3">
      <c r="A14" s="1" t="s">
        <v>5</v>
      </c>
      <c r="B14" s="28">
        <v>43738</v>
      </c>
      <c r="C14" s="2"/>
      <c r="D14" s="2"/>
      <c r="E14" s="2"/>
      <c r="F14" s="11"/>
      <c r="G14" s="2"/>
      <c r="H14" s="123"/>
      <c r="I14" s="27" t="s">
        <v>43</v>
      </c>
      <c r="J14" s="22"/>
      <c r="K14" s="22"/>
      <c r="L14" s="22"/>
    </row>
    <row r="15" spans="1:12" ht="319.5" thickBot="1" x14ac:dyDescent="0.3">
      <c r="A15" s="3" t="s">
        <v>6</v>
      </c>
      <c r="B15" s="156" t="s">
        <v>267</v>
      </c>
      <c r="C15" s="31"/>
      <c r="D15" s="31"/>
      <c r="E15" s="31"/>
      <c r="F15" s="172"/>
      <c r="G15" s="173"/>
      <c r="H15" s="26"/>
      <c r="I15" s="27"/>
      <c r="J15" s="22"/>
      <c r="K15" s="22"/>
      <c r="L15" s="22"/>
    </row>
    <row r="16" spans="1:12" ht="64.5" customHeight="1" thickBot="1" x14ac:dyDescent="0.25">
      <c r="A16" s="6" t="s">
        <v>2</v>
      </c>
      <c r="B16" s="177" t="s">
        <v>268</v>
      </c>
      <c r="C16" s="173"/>
      <c r="D16" s="151"/>
      <c r="E16" s="174"/>
      <c r="F16" s="175"/>
      <c r="G16" s="176"/>
      <c r="H16" s="145" t="s">
        <v>44</v>
      </c>
      <c r="I16" s="124"/>
      <c r="J16" s="22"/>
      <c r="K16" s="22"/>
      <c r="L16" s="22"/>
    </row>
    <row r="17" spans="1:12" ht="25.5" x14ac:dyDescent="0.25">
      <c r="A17" s="22"/>
      <c r="B17" s="22"/>
      <c r="C17" s="22"/>
      <c r="D17" s="22"/>
      <c r="E17" s="22"/>
      <c r="F17" s="22"/>
      <c r="G17" s="22"/>
      <c r="H17" s="125"/>
      <c r="I17" s="126" t="s">
        <v>181</v>
      </c>
      <c r="J17" s="22"/>
      <c r="K17" s="22"/>
      <c r="L17" s="22"/>
    </row>
    <row r="18" spans="1:12" x14ac:dyDescent="0.25">
      <c r="A18" s="22"/>
      <c r="B18" s="22"/>
      <c r="C18" s="22"/>
      <c r="D18" s="22"/>
      <c r="E18" s="22"/>
      <c r="F18" s="22"/>
      <c r="G18" s="22"/>
      <c r="H18" s="127"/>
      <c r="I18" s="128"/>
      <c r="J18" s="22"/>
      <c r="K18" s="22"/>
      <c r="L18" s="22"/>
    </row>
    <row r="19" spans="1:12" x14ac:dyDescent="0.25">
      <c r="A19" s="22"/>
      <c r="B19" s="22"/>
      <c r="C19" s="22"/>
      <c r="D19" s="22"/>
      <c r="E19" s="22"/>
      <c r="F19" s="22"/>
      <c r="G19" s="22"/>
      <c r="H19" s="129" t="s">
        <v>46</v>
      </c>
      <c r="I19" s="118" t="s">
        <v>182</v>
      </c>
      <c r="J19" s="22"/>
      <c r="K19" s="22"/>
      <c r="L19" s="22"/>
    </row>
    <row r="20" spans="1:12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CDA0-5DC6-4A4A-982B-1433929B3798}">
  <dimension ref="A1:G15"/>
  <sheetViews>
    <sheetView topLeftCell="A10" workbookViewId="0">
      <selection activeCell="G14" sqref="G14"/>
    </sheetView>
  </sheetViews>
  <sheetFormatPr defaultRowHeight="15" x14ac:dyDescent="0.25"/>
  <cols>
    <col min="2" max="2" width="48.7109375" customWidth="1"/>
    <col min="3" max="3" width="46.28515625" customWidth="1"/>
    <col min="4" max="4" width="34.85546875" customWidth="1"/>
    <col min="5" max="5" width="36.5703125" customWidth="1"/>
    <col min="6" max="6" width="33.5703125" customWidth="1"/>
    <col min="7" max="7" width="42.7109375" customWidth="1"/>
  </cols>
  <sheetData>
    <row r="1" spans="1:7" ht="15.75" thickBot="1" x14ac:dyDescent="0.3">
      <c r="A1" s="1" t="s">
        <v>5</v>
      </c>
      <c r="B1" s="29"/>
      <c r="C1" s="28">
        <v>43739</v>
      </c>
      <c r="D1" s="2">
        <v>43740</v>
      </c>
      <c r="E1" s="2">
        <v>43741</v>
      </c>
      <c r="F1" s="2">
        <v>43742</v>
      </c>
      <c r="G1" s="2">
        <v>43743</v>
      </c>
    </row>
    <row r="2" spans="1:7" ht="192" thickBot="1" x14ac:dyDescent="0.3">
      <c r="A2" s="3" t="s">
        <v>6</v>
      </c>
      <c r="B2" s="31"/>
      <c r="C2" s="67" t="s">
        <v>269</v>
      </c>
      <c r="D2" s="181" t="s">
        <v>270</v>
      </c>
      <c r="E2" s="12" t="s">
        <v>271</v>
      </c>
      <c r="F2" s="12" t="s">
        <v>264</v>
      </c>
      <c r="G2" s="58"/>
    </row>
    <row r="3" spans="1:7" ht="71.25" customHeight="1" thickBot="1" x14ac:dyDescent="0.3">
      <c r="A3" s="6" t="s">
        <v>2</v>
      </c>
      <c r="B3" s="30"/>
      <c r="C3" s="178" t="s">
        <v>272</v>
      </c>
      <c r="D3" s="182"/>
      <c r="E3" s="179" t="s">
        <v>273</v>
      </c>
      <c r="F3" s="58"/>
      <c r="G3" s="58"/>
    </row>
    <row r="4" spans="1:7" ht="15.75" thickBot="1" x14ac:dyDescent="0.3">
      <c r="A4" s="10" t="s">
        <v>5</v>
      </c>
      <c r="B4" s="28">
        <v>43745</v>
      </c>
      <c r="C4" s="2">
        <v>43746</v>
      </c>
      <c r="D4" s="11">
        <v>43747</v>
      </c>
      <c r="E4" s="2">
        <v>43748</v>
      </c>
      <c r="F4" s="2">
        <v>43749</v>
      </c>
      <c r="G4" s="2">
        <v>43750</v>
      </c>
    </row>
    <row r="5" spans="1:7" ht="217.5" thickBot="1" x14ac:dyDescent="0.3">
      <c r="A5" s="3" t="s">
        <v>6</v>
      </c>
      <c r="B5" s="67" t="s">
        <v>274</v>
      </c>
      <c r="C5" s="12" t="s">
        <v>275</v>
      </c>
      <c r="D5" s="12" t="s">
        <v>276</v>
      </c>
      <c r="E5" s="12" t="s">
        <v>277</v>
      </c>
      <c r="F5" s="12" t="s">
        <v>278</v>
      </c>
      <c r="G5" s="58"/>
    </row>
    <row r="6" spans="1:7" ht="51.75" thickBot="1" x14ac:dyDescent="0.3">
      <c r="A6" s="6" t="s">
        <v>2</v>
      </c>
      <c r="B6" s="67" t="s">
        <v>279</v>
      </c>
      <c r="C6" s="12" t="s">
        <v>280</v>
      </c>
      <c r="D6" s="8" t="s">
        <v>281</v>
      </c>
      <c r="E6" s="59"/>
      <c r="F6" s="180" t="s">
        <v>282</v>
      </c>
      <c r="G6" s="58"/>
    </row>
    <row r="7" spans="1:7" ht="15.75" thickBot="1" x14ac:dyDescent="0.3">
      <c r="A7" s="10" t="s">
        <v>5</v>
      </c>
      <c r="B7" s="28">
        <v>43752</v>
      </c>
      <c r="C7" s="2">
        <v>43753</v>
      </c>
      <c r="D7" s="2">
        <v>43754</v>
      </c>
      <c r="E7" s="2">
        <v>43755</v>
      </c>
      <c r="F7" s="2">
        <v>43756</v>
      </c>
      <c r="G7" s="2">
        <v>43757</v>
      </c>
    </row>
    <row r="8" spans="1:7" ht="230.25" thickBot="1" x14ac:dyDescent="0.3">
      <c r="A8" s="3" t="s">
        <v>6</v>
      </c>
      <c r="B8" s="141" t="s">
        <v>283</v>
      </c>
      <c r="C8" s="183" t="s">
        <v>284</v>
      </c>
      <c r="D8" s="15"/>
      <c r="E8" s="15" t="s">
        <v>285</v>
      </c>
      <c r="F8" s="12" t="s">
        <v>286</v>
      </c>
      <c r="G8" s="20"/>
    </row>
    <row r="9" spans="1:7" ht="42.75" customHeight="1" thickBot="1" x14ac:dyDescent="0.3">
      <c r="A9" s="6" t="s">
        <v>2</v>
      </c>
      <c r="B9" s="47"/>
      <c r="C9" s="20"/>
      <c r="D9" s="20"/>
      <c r="E9" s="12" t="s">
        <v>287</v>
      </c>
      <c r="F9" s="186"/>
      <c r="G9" s="20"/>
    </row>
    <row r="10" spans="1:7" ht="15.75" thickBot="1" x14ac:dyDescent="0.3">
      <c r="A10" s="10" t="s">
        <v>5</v>
      </c>
      <c r="B10" s="28">
        <v>43759</v>
      </c>
      <c r="C10" s="2">
        <v>43760</v>
      </c>
      <c r="D10" s="2">
        <v>43761</v>
      </c>
      <c r="E10" s="2">
        <v>43762</v>
      </c>
      <c r="F10" s="2">
        <v>43763</v>
      </c>
      <c r="G10" s="2">
        <v>43764</v>
      </c>
    </row>
    <row r="11" spans="1:7" ht="179.25" thickBot="1" x14ac:dyDescent="0.3">
      <c r="A11" s="3" t="s">
        <v>6</v>
      </c>
      <c r="B11" s="67" t="s">
        <v>288</v>
      </c>
      <c r="C11" s="12"/>
      <c r="D11" s="12" t="s">
        <v>290</v>
      </c>
      <c r="E11" s="13" t="s">
        <v>291</v>
      </c>
      <c r="F11" s="187" t="s">
        <v>289</v>
      </c>
      <c r="G11" s="58"/>
    </row>
    <row r="12" spans="1:7" ht="101.25" customHeight="1" thickBot="1" x14ac:dyDescent="0.3">
      <c r="A12" s="6" t="s">
        <v>2</v>
      </c>
      <c r="B12" s="73"/>
      <c r="C12" s="179" t="s">
        <v>292</v>
      </c>
      <c r="D12" s="170" t="s">
        <v>293</v>
      </c>
      <c r="E12" s="58"/>
      <c r="F12" s="188" t="s">
        <v>294</v>
      </c>
      <c r="G12" s="58"/>
    </row>
    <row r="13" spans="1:7" ht="15.75" thickBot="1" x14ac:dyDescent="0.3">
      <c r="A13" s="10" t="s">
        <v>5</v>
      </c>
      <c r="B13" s="189">
        <v>43766</v>
      </c>
      <c r="C13" s="11">
        <v>43767</v>
      </c>
      <c r="D13" s="11">
        <v>43768</v>
      </c>
      <c r="E13" s="11">
        <v>43769</v>
      </c>
      <c r="F13" s="11">
        <v>43770</v>
      </c>
      <c r="G13" s="11">
        <v>43771</v>
      </c>
    </row>
    <row r="14" spans="1:7" ht="141" thickBot="1" x14ac:dyDescent="0.3">
      <c r="A14" s="3" t="s">
        <v>6</v>
      </c>
      <c r="B14" s="139" t="s">
        <v>295</v>
      </c>
      <c r="C14" s="12" t="s">
        <v>296</v>
      </c>
      <c r="D14" s="5" t="s">
        <v>297</v>
      </c>
      <c r="E14" s="15" t="s">
        <v>298</v>
      </c>
      <c r="F14" s="190" t="s">
        <v>299</v>
      </c>
      <c r="G14" s="58"/>
    </row>
    <row r="15" spans="1:7" ht="51.75" customHeight="1" thickBot="1" x14ac:dyDescent="0.3">
      <c r="A15" s="6" t="s">
        <v>2</v>
      </c>
      <c r="B15" s="191"/>
      <c r="C15" s="40" t="s">
        <v>300</v>
      </c>
      <c r="D15" s="192" t="s">
        <v>301</v>
      </c>
      <c r="E15" s="193" t="s">
        <v>302</v>
      </c>
      <c r="F15" s="192" t="s">
        <v>303</v>
      </c>
      <c r="G15" s="58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EED8-153B-4888-99F7-EC104855704D}">
  <dimension ref="A1:G15"/>
  <sheetViews>
    <sheetView topLeftCell="A4" workbookViewId="0">
      <selection sqref="A1:XFD1048576"/>
    </sheetView>
  </sheetViews>
  <sheetFormatPr defaultRowHeight="15" x14ac:dyDescent="0.25"/>
  <cols>
    <col min="1" max="1" width="9.140625" style="22"/>
    <col min="2" max="2" width="42.28515625" style="22" customWidth="1"/>
    <col min="3" max="3" width="58.140625" style="22" customWidth="1"/>
    <col min="4" max="4" width="31.42578125" style="22" customWidth="1"/>
    <col min="5" max="5" width="34.42578125" style="22" customWidth="1"/>
    <col min="6" max="6" width="27.140625" style="22" customWidth="1"/>
    <col min="7" max="7" width="36.140625" style="22" customWidth="1"/>
    <col min="8" max="16384" width="9.140625" style="22"/>
  </cols>
  <sheetData>
    <row r="1" spans="1:7" ht="15.75" thickBot="1" x14ac:dyDescent="0.3">
      <c r="A1" s="1" t="s">
        <v>5</v>
      </c>
      <c r="B1" s="184">
        <v>43766</v>
      </c>
      <c r="C1" s="29">
        <v>43767</v>
      </c>
      <c r="D1" s="29">
        <v>43768</v>
      </c>
      <c r="E1" s="29">
        <v>43769</v>
      </c>
      <c r="F1" s="28">
        <v>43770</v>
      </c>
      <c r="G1" s="2">
        <v>43771</v>
      </c>
    </row>
    <row r="2" spans="1:7" ht="174" customHeight="1" thickBot="1" x14ac:dyDescent="0.3">
      <c r="A2" s="3" t="s">
        <v>6</v>
      </c>
      <c r="B2" s="149"/>
      <c r="C2" s="31"/>
      <c r="D2" s="185"/>
      <c r="E2" s="30"/>
      <c r="F2" s="194" t="s">
        <v>299</v>
      </c>
      <c r="G2" s="20"/>
    </row>
    <row r="3" spans="1:7" ht="115.5" customHeight="1" thickBot="1" x14ac:dyDescent="0.3">
      <c r="A3" s="6" t="s">
        <v>2</v>
      </c>
      <c r="B3" s="196"/>
      <c r="C3" s="32"/>
      <c r="D3" s="32"/>
      <c r="E3" s="30"/>
      <c r="F3" s="177" t="s">
        <v>303</v>
      </c>
      <c r="G3" s="20"/>
    </row>
    <row r="4" spans="1:7" ht="15.75" thickBot="1" x14ac:dyDescent="0.3">
      <c r="A4" s="10" t="s">
        <v>5</v>
      </c>
      <c r="B4" s="28">
        <v>43773</v>
      </c>
      <c r="C4" s="2">
        <v>43774</v>
      </c>
      <c r="D4" s="2">
        <v>43775</v>
      </c>
      <c r="E4" s="2">
        <v>43776</v>
      </c>
      <c r="F4" s="2">
        <v>43777</v>
      </c>
      <c r="G4" s="2">
        <v>43778</v>
      </c>
    </row>
    <row r="5" spans="1:7" ht="90" thickBot="1" x14ac:dyDescent="0.3">
      <c r="A5" s="3" t="s">
        <v>6</v>
      </c>
      <c r="B5" s="195" t="s">
        <v>304</v>
      </c>
      <c r="C5" s="187" t="s">
        <v>305</v>
      </c>
      <c r="D5" s="15" t="s">
        <v>306</v>
      </c>
      <c r="E5" s="12" t="s">
        <v>307</v>
      </c>
      <c r="F5" s="15" t="s">
        <v>102</v>
      </c>
      <c r="G5" s="20"/>
    </row>
    <row r="6" spans="1:7" ht="51.75" thickBot="1" x14ac:dyDescent="0.3">
      <c r="A6" s="6" t="s">
        <v>2</v>
      </c>
      <c r="B6" s="67" t="s">
        <v>308</v>
      </c>
      <c r="C6" s="8" t="s">
        <v>309</v>
      </c>
      <c r="D6" s="179" t="s">
        <v>310</v>
      </c>
      <c r="E6" s="8" t="s">
        <v>311</v>
      </c>
      <c r="F6" s="20"/>
      <c r="G6" s="20"/>
    </row>
    <row r="7" spans="1:7" ht="15.75" thickBot="1" x14ac:dyDescent="0.3">
      <c r="A7" s="10" t="s">
        <v>5</v>
      </c>
      <c r="B7" s="189">
        <v>43780</v>
      </c>
      <c r="C7" s="11">
        <v>43781</v>
      </c>
      <c r="D7" s="11">
        <v>43782</v>
      </c>
      <c r="E7" s="11">
        <v>43783</v>
      </c>
      <c r="F7" s="11">
        <v>43784</v>
      </c>
      <c r="G7" s="2">
        <v>43785</v>
      </c>
    </row>
    <row r="8" spans="1:7" ht="77.25" thickBot="1" x14ac:dyDescent="0.3">
      <c r="A8" s="3" t="s">
        <v>6</v>
      </c>
      <c r="B8" s="156" t="s">
        <v>102</v>
      </c>
      <c r="C8" s="48" t="s">
        <v>102</v>
      </c>
      <c r="D8" s="48" t="s">
        <v>312</v>
      </c>
      <c r="E8" s="40" t="s">
        <v>313</v>
      </c>
      <c r="F8" s="40" t="s">
        <v>314</v>
      </c>
      <c r="G8" s="55"/>
    </row>
    <row r="9" spans="1:7" ht="51.75" thickBot="1" x14ac:dyDescent="0.25">
      <c r="A9" s="6" t="s">
        <v>2</v>
      </c>
      <c r="B9" s="67" t="s">
        <v>315</v>
      </c>
      <c r="C9" s="179" t="s">
        <v>316</v>
      </c>
      <c r="D9" s="8" t="s">
        <v>317</v>
      </c>
      <c r="E9" s="197" t="s">
        <v>318</v>
      </c>
      <c r="F9" s="62" t="s">
        <v>323</v>
      </c>
      <c r="G9" s="8"/>
    </row>
    <row r="10" spans="1:7" ht="15.75" thickBot="1" x14ac:dyDescent="0.3">
      <c r="A10" s="10" t="s">
        <v>5</v>
      </c>
      <c r="B10" s="28">
        <v>43787</v>
      </c>
      <c r="C10" s="2">
        <v>43788</v>
      </c>
      <c r="D10" s="2">
        <v>43789</v>
      </c>
      <c r="E10" s="2">
        <v>43790</v>
      </c>
      <c r="F10" s="2">
        <v>43791</v>
      </c>
      <c r="G10" s="2">
        <v>43792</v>
      </c>
    </row>
    <row r="11" spans="1:7" ht="102.75" thickBot="1" x14ac:dyDescent="0.3">
      <c r="A11" s="3" t="s">
        <v>6</v>
      </c>
      <c r="B11" s="156" t="s">
        <v>324</v>
      </c>
      <c r="C11" s="40" t="s">
        <v>325</v>
      </c>
      <c r="D11" s="48" t="s">
        <v>326</v>
      </c>
      <c r="E11" s="40"/>
      <c r="F11" s="40" t="s">
        <v>327</v>
      </c>
      <c r="G11" s="55"/>
    </row>
    <row r="12" spans="1:7" ht="52.5" customHeight="1" thickBot="1" x14ac:dyDescent="0.3">
      <c r="A12" s="6" t="s">
        <v>2</v>
      </c>
      <c r="B12" s="77" t="s">
        <v>328</v>
      </c>
      <c r="C12" s="12" t="s">
        <v>329</v>
      </c>
      <c r="D12" s="12" t="s">
        <v>319</v>
      </c>
      <c r="E12" s="12"/>
      <c r="F12" s="12"/>
      <c r="G12" s="58"/>
    </row>
    <row r="13" spans="1:7" ht="15.75" thickBot="1" x14ac:dyDescent="0.3">
      <c r="A13" s="10" t="s">
        <v>5</v>
      </c>
      <c r="B13" s="189">
        <v>43794</v>
      </c>
      <c r="C13" s="11">
        <v>43795</v>
      </c>
      <c r="D13" s="11">
        <v>43796</v>
      </c>
      <c r="E13" s="11">
        <v>43797</v>
      </c>
      <c r="F13" s="11">
        <v>43798</v>
      </c>
      <c r="G13" s="2">
        <v>43799</v>
      </c>
    </row>
    <row r="14" spans="1:7" ht="135" customHeight="1" thickBot="1" x14ac:dyDescent="0.25">
      <c r="A14" s="3" t="s">
        <v>6</v>
      </c>
      <c r="B14" s="167" t="s">
        <v>330</v>
      </c>
      <c r="C14" s="48" t="s">
        <v>331</v>
      </c>
      <c r="D14" s="40" t="s">
        <v>332</v>
      </c>
      <c r="E14" s="48" t="s">
        <v>320</v>
      </c>
      <c r="F14" s="198" t="s">
        <v>321</v>
      </c>
      <c r="G14" s="55"/>
    </row>
    <row r="15" spans="1:7" ht="64.5" thickBot="1" x14ac:dyDescent="0.25">
      <c r="A15" s="6" t="s">
        <v>2</v>
      </c>
      <c r="B15" s="77" t="s">
        <v>333</v>
      </c>
      <c r="C15" s="199" t="s">
        <v>334</v>
      </c>
      <c r="D15" s="62"/>
      <c r="E15" s="105" t="s">
        <v>322</v>
      </c>
      <c r="F15" s="105" t="s">
        <v>335</v>
      </c>
      <c r="G15" s="5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DCC1-B6A9-4974-BF99-58E00A2C3E31}">
  <dimension ref="A1:G15"/>
  <sheetViews>
    <sheetView tabSelected="1" topLeftCell="B1" workbookViewId="0">
      <selection activeCell="B2" sqref="B2"/>
    </sheetView>
  </sheetViews>
  <sheetFormatPr defaultRowHeight="15" x14ac:dyDescent="0.25"/>
  <cols>
    <col min="1" max="1" width="9.140625" style="22"/>
    <col min="2" max="2" width="42.28515625" style="22" customWidth="1"/>
    <col min="3" max="3" width="58.140625" style="22" customWidth="1"/>
    <col min="4" max="4" width="31.42578125" style="22" customWidth="1"/>
    <col min="5" max="5" width="34.42578125" style="22" customWidth="1"/>
    <col min="6" max="6" width="27.140625" style="22" customWidth="1"/>
    <col min="7" max="7" width="36.140625" style="22" customWidth="1"/>
    <col min="8" max="16384" width="9.140625" style="22"/>
  </cols>
  <sheetData>
    <row r="1" spans="1:7" ht="15.75" thickBot="1" x14ac:dyDescent="0.3">
      <c r="A1" s="10" t="s">
        <v>5</v>
      </c>
      <c r="B1" s="28">
        <v>43801</v>
      </c>
      <c r="C1" s="2">
        <v>43802</v>
      </c>
      <c r="D1" s="2">
        <v>43803</v>
      </c>
      <c r="E1" s="2">
        <v>43804</v>
      </c>
      <c r="F1" s="2">
        <v>43805</v>
      </c>
      <c r="G1" s="2">
        <v>43806</v>
      </c>
    </row>
    <row r="2" spans="1:7" ht="230.25" thickBot="1" x14ac:dyDescent="0.3">
      <c r="A2" s="3" t="s">
        <v>6</v>
      </c>
      <c r="B2" s="67" t="s">
        <v>336</v>
      </c>
      <c r="C2" s="12" t="s">
        <v>337</v>
      </c>
      <c r="D2" s="12" t="s">
        <v>338</v>
      </c>
      <c r="E2" s="13" t="s">
        <v>339</v>
      </c>
      <c r="F2" s="5" t="s">
        <v>340</v>
      </c>
      <c r="G2" s="58"/>
    </row>
    <row r="3" spans="1:7" ht="64.5" thickBot="1" x14ac:dyDescent="0.25">
      <c r="A3" s="6" t="s">
        <v>2</v>
      </c>
      <c r="B3" s="93"/>
      <c r="C3" s="58"/>
      <c r="D3" s="59"/>
      <c r="E3" s="62" t="s">
        <v>341</v>
      </c>
      <c r="F3" s="59" t="s">
        <v>342</v>
      </c>
      <c r="G3" s="58"/>
    </row>
    <row r="4" spans="1:7" ht="15.75" thickBot="1" x14ac:dyDescent="0.3">
      <c r="A4" s="10" t="s">
        <v>5</v>
      </c>
      <c r="B4" s="28">
        <v>43808</v>
      </c>
      <c r="C4" s="2">
        <v>43809</v>
      </c>
      <c r="D4" s="2">
        <v>43810</v>
      </c>
      <c r="E4" s="2">
        <v>43811</v>
      </c>
      <c r="F4" s="2">
        <v>43812</v>
      </c>
      <c r="G4" s="2">
        <v>43813</v>
      </c>
    </row>
    <row r="5" spans="1:7" ht="179.25" thickBot="1" x14ac:dyDescent="0.3">
      <c r="A5" s="3" t="s">
        <v>6</v>
      </c>
      <c r="B5" s="67" t="s">
        <v>343</v>
      </c>
      <c r="C5" s="200" t="s">
        <v>344</v>
      </c>
      <c r="D5" s="5" t="s">
        <v>345</v>
      </c>
      <c r="E5" s="15" t="s">
        <v>346</v>
      </c>
      <c r="F5" s="181" t="s">
        <v>347</v>
      </c>
      <c r="G5" s="58"/>
    </row>
    <row r="6" spans="1:7" ht="51.75" thickBot="1" x14ac:dyDescent="0.25">
      <c r="A6" s="6" t="s">
        <v>2</v>
      </c>
      <c r="B6" s="141" t="s">
        <v>348</v>
      </c>
      <c r="C6" s="179" t="s">
        <v>349</v>
      </c>
      <c r="D6" s="74" t="s">
        <v>350</v>
      </c>
      <c r="E6" s="201"/>
      <c r="F6" s="202"/>
      <c r="G6" s="171" t="s">
        <v>351</v>
      </c>
    </row>
    <row r="7" spans="1:7" ht="15.75" thickBot="1" x14ac:dyDescent="0.3">
      <c r="A7" s="10" t="s">
        <v>5</v>
      </c>
      <c r="B7" s="28">
        <v>43815</v>
      </c>
      <c r="C7" s="2">
        <v>43816</v>
      </c>
      <c r="D7" s="2">
        <v>43817</v>
      </c>
      <c r="E7" s="2">
        <v>43818</v>
      </c>
      <c r="F7" s="2">
        <v>43819</v>
      </c>
      <c r="G7" s="2">
        <v>43820</v>
      </c>
    </row>
    <row r="8" spans="1:7" ht="153.75" thickBot="1" x14ac:dyDescent="0.3">
      <c r="A8" s="3" t="s">
        <v>6</v>
      </c>
      <c r="B8" s="156" t="s">
        <v>253</v>
      </c>
      <c r="C8" s="48" t="s">
        <v>102</v>
      </c>
      <c r="D8" s="192" t="s">
        <v>352</v>
      </c>
      <c r="E8" s="40" t="s">
        <v>358</v>
      </c>
      <c r="F8" s="55"/>
      <c r="G8" s="55"/>
    </row>
    <row r="9" spans="1:7" ht="52.5" customHeight="1" thickBot="1" x14ac:dyDescent="0.25">
      <c r="A9" s="6" t="s">
        <v>2</v>
      </c>
      <c r="B9" s="73"/>
      <c r="C9" s="8" t="s">
        <v>353</v>
      </c>
      <c r="D9" s="45" t="s">
        <v>354</v>
      </c>
      <c r="E9" s="59"/>
      <c r="F9" s="59"/>
      <c r="G9" s="58"/>
    </row>
    <row r="10" spans="1:7" ht="15.75" thickBot="1" x14ac:dyDescent="0.3">
      <c r="A10" s="10" t="s">
        <v>5</v>
      </c>
      <c r="B10" s="28">
        <v>43822</v>
      </c>
      <c r="C10" s="2">
        <v>43823</v>
      </c>
      <c r="D10" s="2">
        <v>43824</v>
      </c>
      <c r="E10" s="2">
        <v>43825</v>
      </c>
      <c r="F10" s="2">
        <v>43826</v>
      </c>
      <c r="G10" s="2">
        <v>43827</v>
      </c>
    </row>
    <row r="11" spans="1:7" ht="192" thickBot="1" x14ac:dyDescent="0.25">
      <c r="A11" s="3" t="s">
        <v>6</v>
      </c>
      <c r="B11" s="203" t="s">
        <v>102</v>
      </c>
      <c r="C11" s="55"/>
      <c r="D11" s="204" t="s">
        <v>355</v>
      </c>
      <c r="E11" s="205" t="s">
        <v>359</v>
      </c>
      <c r="F11" s="55"/>
      <c r="G11" s="55"/>
    </row>
    <row r="12" spans="1:7" ht="47.25" customHeight="1" thickBot="1" x14ac:dyDescent="0.3">
      <c r="A12" s="6" t="s">
        <v>2</v>
      </c>
      <c r="B12" s="93"/>
      <c r="C12" s="58"/>
      <c r="D12" s="105" t="s">
        <v>355</v>
      </c>
      <c r="E12" s="58"/>
      <c r="F12" s="58"/>
      <c r="G12" s="58"/>
    </row>
    <row r="13" spans="1:7" ht="15.75" thickBot="1" x14ac:dyDescent="0.3">
      <c r="A13" s="1" t="s">
        <v>5</v>
      </c>
      <c r="B13" s="2">
        <v>43829</v>
      </c>
      <c r="C13" s="2">
        <v>43830</v>
      </c>
      <c r="D13" s="2">
        <v>43831</v>
      </c>
      <c r="E13" s="2">
        <v>43832</v>
      </c>
      <c r="F13" s="2">
        <v>43833</v>
      </c>
      <c r="G13" s="2">
        <v>43834</v>
      </c>
    </row>
    <row r="14" spans="1:7" ht="49.5" customHeight="1" thickBot="1" x14ac:dyDescent="0.25">
      <c r="A14" s="3" t="s">
        <v>6</v>
      </c>
      <c r="B14" s="203" t="s">
        <v>102</v>
      </c>
      <c r="C14" s="55"/>
      <c r="D14" s="204" t="s">
        <v>356</v>
      </c>
      <c r="E14" s="49" t="s">
        <v>360</v>
      </c>
      <c r="F14" s="49"/>
      <c r="G14" s="55"/>
    </row>
    <row r="15" spans="1:7" ht="41.25" customHeight="1" thickBot="1" x14ac:dyDescent="0.25">
      <c r="A15" s="6" t="s">
        <v>2</v>
      </c>
      <c r="B15" s="206" t="s">
        <v>361</v>
      </c>
      <c r="C15" s="45" t="s">
        <v>362</v>
      </c>
      <c r="D15" s="105" t="s">
        <v>356</v>
      </c>
      <c r="E15" s="58"/>
      <c r="F15" s="8" t="s">
        <v>357</v>
      </c>
      <c r="G15" s="5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March 2019</vt:lpstr>
      <vt:lpstr>April 2019</vt:lpstr>
      <vt:lpstr>May 2019</vt:lpstr>
      <vt:lpstr>June 2019</vt:lpstr>
      <vt:lpstr>July 2019</vt:lpstr>
      <vt:lpstr>August 2019</vt:lpstr>
      <vt:lpstr>September 2019</vt:lpstr>
      <vt:lpstr>October 2019</vt:lpstr>
      <vt:lpstr>November 2019</vt:lpstr>
      <vt:lpstr>December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Scheduler</dc:creator>
  <cp:lastModifiedBy>Peco-System</cp:lastModifiedBy>
  <dcterms:created xsi:type="dcterms:W3CDTF">2019-04-12T00:07:51Z</dcterms:created>
  <dcterms:modified xsi:type="dcterms:W3CDTF">2020-02-05T17:01:09Z</dcterms:modified>
</cp:coreProperties>
</file>